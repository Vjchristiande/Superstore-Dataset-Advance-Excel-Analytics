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dever\Downloads\"/>
    </mc:Choice>
  </mc:AlternateContent>
  <xr:revisionPtr revIDLastSave="0" documentId="13_ncr:1_{96589075-655A-4352-BD6E-B4C3D5DA6D1B}" xr6:coauthVersionLast="47" xr6:coauthVersionMax="47" xr10:uidLastSave="{00000000-0000-0000-0000-000000000000}"/>
  <bookViews>
    <workbookView xWindow="-120" yWindow="-120" windowWidth="20730" windowHeight="11760" tabRatio="500" xr2:uid="{00000000-000D-0000-FFFF-FFFF00000000}"/>
  </bookViews>
  <sheets>
    <sheet name="Sales Dashboard" sheetId="7" r:id="rId1"/>
    <sheet name="Orders" sheetId="1" r:id="rId2"/>
    <sheet name="Returns" sheetId="3" r:id="rId3"/>
    <sheet name="People" sheetId="5" r:id="rId4"/>
  </sheets>
  <externalReferences>
    <externalReference r:id="rId5"/>
  </externalReferences>
  <definedNames>
    <definedName name="_xlnm._FilterDatabase" localSheetId="1" hidden="1">Orders!$A$1:$X$682</definedName>
    <definedName name="Language_ID">[1]Language!$E$1</definedName>
    <definedName name="Slicer_City">#N/A</definedName>
    <definedName name="Slicer_Segment">#N/A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 i="7" l="1"/>
  <c r="G4" i="7" s="1"/>
  <c r="F4" i="7" l="1"/>
</calcChain>
</file>

<file path=xl/sharedStrings.xml><?xml version="1.0" encoding="utf-8"?>
<sst xmlns="http://schemas.openxmlformats.org/spreadsheetml/2006/main" count="13869" uniqueCount="3298">
  <si>
    <t>Row ID</t>
  </si>
  <si>
    <t>Order ID</t>
  </si>
  <si>
    <t>Order Date</t>
  </si>
  <si>
    <t>Ship Date</t>
  </si>
  <si>
    <t>Ship Mode</t>
  </si>
  <si>
    <t>Customer ID</t>
  </si>
  <si>
    <t>Customer Name</t>
  </si>
  <si>
    <t>City</t>
  </si>
  <si>
    <t>State</t>
  </si>
  <si>
    <t>Country</t>
  </si>
  <si>
    <t>Region</t>
  </si>
  <si>
    <t>Product ID</t>
  </si>
  <si>
    <t>Category</t>
  </si>
  <si>
    <t>Sub-Category</t>
  </si>
  <si>
    <t>Product Name</t>
  </si>
  <si>
    <t>Sales</t>
  </si>
  <si>
    <t>Quantity</t>
  </si>
  <si>
    <t>Discount</t>
  </si>
  <si>
    <t>Profit</t>
  </si>
  <si>
    <t>Standard Class</t>
  </si>
  <si>
    <t>Consumer</t>
  </si>
  <si>
    <t>North</t>
  </si>
  <si>
    <t>Office Supplies</t>
  </si>
  <si>
    <t>Labels</t>
  </si>
  <si>
    <t>Hon File Folder Labels, Adjustable</t>
  </si>
  <si>
    <t>Kelly Williams</t>
  </si>
  <si>
    <t>South</t>
  </si>
  <si>
    <t>Furniture</t>
  </si>
  <si>
    <t>Tenex Clock, Durable</t>
  </si>
  <si>
    <t>Bookcases</t>
  </si>
  <si>
    <t>Envelopes</t>
  </si>
  <si>
    <t>Technology</t>
  </si>
  <si>
    <t>Elite Box Cutter, Easy Grip</t>
  </si>
  <si>
    <t>Enermax Router, Erganomic</t>
  </si>
  <si>
    <t>Wilson Jones Hole Reinforcements, Durable</t>
  </si>
  <si>
    <t>Central</t>
  </si>
  <si>
    <t>Hon Steel Folding Chair, Black</t>
  </si>
  <si>
    <t>Home Office</t>
  </si>
  <si>
    <t>Advantus Clamps, Metal</t>
  </si>
  <si>
    <t>Corporate</t>
  </si>
  <si>
    <t>Jiffy Peel and Seal, with clear poly window</t>
  </si>
  <si>
    <t>GlobeWeis Interoffice Envelope, Security-Tint</t>
  </si>
  <si>
    <t>Hon Rocking Chair, Black</t>
  </si>
  <si>
    <t>Second Class</t>
  </si>
  <si>
    <t>Enermax Mouse, USB</t>
  </si>
  <si>
    <t>Acme Box Cutter, Serrated</t>
  </si>
  <si>
    <t>Acco Binding Machine, Clear</t>
  </si>
  <si>
    <t>First Class</t>
  </si>
  <si>
    <t>Deflect-O Clock, Black</t>
  </si>
  <si>
    <t>Sample Company A</t>
  </si>
  <si>
    <t>Appliances</t>
  </si>
  <si>
    <t>Acme Letter Opener, Steel</t>
  </si>
  <si>
    <t>Caribbean</t>
  </si>
  <si>
    <t>Tables</t>
  </si>
  <si>
    <t>Fiskars Trimmer, Serrated</t>
  </si>
  <si>
    <t>Motorola Speaker Phone, with Caller ID</t>
  </si>
  <si>
    <t>Panasonic Inkjet, White</t>
  </si>
  <si>
    <t>Memorex Mouse, Bluetooth</t>
  </si>
  <si>
    <t>Same Day</t>
  </si>
  <si>
    <t>Lindsay Castell</t>
  </si>
  <si>
    <t>Novimex Steel Folding Chair, Set of Two</t>
  </si>
  <si>
    <t>Alan Shonely</t>
  </si>
  <si>
    <t>Canon Personal Copier, Color</t>
  </si>
  <si>
    <t>Stiletto Letter Opener, Steel</t>
  </si>
  <si>
    <t>Dianna Wilson</t>
  </si>
  <si>
    <t>Darrin Sayre</t>
  </si>
  <si>
    <t>Jill Matthias</t>
  </si>
  <si>
    <t>Nokia Smart Phone, Full Size</t>
  </si>
  <si>
    <t>Chris Cortes</t>
  </si>
  <si>
    <t>Paper</t>
  </si>
  <si>
    <t>Sauder Classic Bookcase, Pine</t>
  </si>
  <si>
    <t>Gary Zandusky</t>
  </si>
  <si>
    <t>Stiletto Trimmer, High Speed</t>
  </si>
  <si>
    <t>Memorex Flash Drive, Bluetooth</t>
  </si>
  <si>
    <t>Cardinal Index Tab, Clear</t>
  </si>
  <si>
    <t>Jiffy Mailers, with clear poly window</t>
  </si>
  <si>
    <t>Kleencut Shears, Serrated</t>
  </si>
  <si>
    <t>Office Star Bag Chairs, Set of Two</t>
  </si>
  <si>
    <t>Mitch Webber</t>
  </si>
  <si>
    <t>Christine Sundaresam</t>
  </si>
  <si>
    <t>Pamela Stobb</t>
  </si>
  <si>
    <t>Sung Chung</t>
  </si>
  <si>
    <t>San Pedro</t>
  </si>
  <si>
    <t>Dania Library with Doors, Pine</t>
  </si>
  <si>
    <t>Ames Mailers, Security-Tint</t>
  </si>
  <si>
    <t>Anthony Jacobs</t>
  </si>
  <si>
    <t>Xerox Memo Slips, 8.5 x 11</t>
  </si>
  <si>
    <t>Dania Corner Shelving, Pine</t>
  </si>
  <si>
    <t>Eaton Computer Printout Paper, Premium</t>
  </si>
  <si>
    <t>Catherine Glotzbach</t>
  </si>
  <si>
    <t>Tom Boeckenhauer</t>
  </si>
  <si>
    <t>Office Star Steel Folding Chair, Red</t>
  </si>
  <si>
    <t>Sanford Pens, Fluorescent</t>
  </si>
  <si>
    <t>Hon Chairmat, Red</t>
  </si>
  <si>
    <t>Tim Taslimi</t>
  </si>
  <si>
    <t>Steve Carroll</t>
  </si>
  <si>
    <t>Evan Minnotte</t>
  </si>
  <si>
    <t>Scott Williamson</t>
  </si>
  <si>
    <t>Tenex Lockers, Industrial</t>
  </si>
  <si>
    <t>Cisco Speaker Phone, VoIP</t>
  </si>
  <si>
    <t>Alex Grayson</t>
  </si>
  <si>
    <t>Jiffy Mailers, Security-Tint</t>
  </si>
  <si>
    <t>Nora Pelletier</t>
  </si>
  <si>
    <t>Cameo Interoffice Envelope, with clear poly window</t>
  </si>
  <si>
    <t>Jack Lebron</t>
  </si>
  <si>
    <t>GlobeWeis Mailers, Recycled</t>
  </si>
  <si>
    <t>Beth Thompson</t>
  </si>
  <si>
    <t>Dan Reichenbach</t>
  </si>
  <si>
    <t>Wilson Jones 3-Hole Punch, Economy</t>
  </si>
  <si>
    <t>Ken Dana</t>
  </si>
  <si>
    <t>Avery Legal Exhibit Labels, 5000 Label Set</t>
  </si>
  <si>
    <t>Enermax Memory Card, Erganomic</t>
  </si>
  <si>
    <t>Bill Eplett</t>
  </si>
  <si>
    <t>Avery Index Tab, Clear</t>
  </si>
  <si>
    <t>Office Star Bag Chairs, Adjustable</t>
  </si>
  <si>
    <t>Acme Shears, Easy Grip</t>
  </si>
  <si>
    <t>Green Bar Cards &amp; Envelopes, 8.5 x 11</t>
  </si>
  <si>
    <t>Sanford Canvas, Blue</t>
  </si>
  <si>
    <t>Sara Luxemburg</t>
  </si>
  <si>
    <t>SAFCO Steel Folding Chair, Black</t>
  </si>
  <si>
    <t>Jim Sink</t>
  </si>
  <si>
    <t>Cardinal Binding Machine, Economy</t>
  </si>
  <si>
    <t>Cuisinart Microwave, Black</t>
  </si>
  <si>
    <t>Belkin Numeric Keypad, USB</t>
  </si>
  <si>
    <t>Herbert Flentye</t>
  </si>
  <si>
    <t>Chuck Magee</t>
  </si>
  <si>
    <t>Brad Thomas</t>
  </si>
  <si>
    <t>Ames Interoffice Envelope, with clear poly window</t>
  </si>
  <si>
    <t>Ames Business Envelopes, Set of 50</t>
  </si>
  <si>
    <t>OIC Staples, Assorted Sizes</t>
  </si>
  <si>
    <t>Eldon File Cart, Single Width</t>
  </si>
  <si>
    <t>Harbour Creations Steel Folding Chair, Set of Two</t>
  </si>
  <si>
    <t>Stockwell Staples, 12 Pack</t>
  </si>
  <si>
    <t>Carlos Soltero</t>
  </si>
  <si>
    <t>Denny Ordway</t>
  </si>
  <si>
    <t>Ibico Hole Reinforcements, Clear</t>
  </si>
  <si>
    <t>Rick Reed</t>
  </si>
  <si>
    <t>Matt Hagelstein</t>
  </si>
  <si>
    <t>Hamilton Beach Stove, Red</t>
  </si>
  <si>
    <t>Craig Leslie</t>
  </si>
  <si>
    <t>Safco Floating Shelf Set, Mobile</t>
  </si>
  <si>
    <t>Bush Classic Bookcase, Metal</t>
  </si>
  <si>
    <t>Lynn Smith</t>
  </si>
  <si>
    <t>Wilson Jones 3-Hole Punch, Durable</t>
  </si>
  <si>
    <t>Alan Haines</t>
  </si>
  <si>
    <t>Harbour Creations Swivel Stool, Red</t>
  </si>
  <si>
    <t>Alyssa Crouse</t>
  </si>
  <si>
    <t>Pete Takahito</t>
  </si>
  <si>
    <t>Advantus Photo Frame, Duo Pack</t>
  </si>
  <si>
    <t>Bush Stackable Bookrack, Pine</t>
  </si>
  <si>
    <t>Rogers File Cart, Single Width</t>
  </si>
  <si>
    <t>Larry Blacks</t>
  </si>
  <si>
    <t>Enermax Note Cards, Premium</t>
  </si>
  <si>
    <t>Sharp Personal Copier, Color</t>
  </si>
  <si>
    <t>Smead Legal Exhibit Labels, Laser Printer Compatible</t>
  </si>
  <si>
    <t>Sam Zeldin</t>
  </si>
  <si>
    <t>Bush Corner Shelving, Traditional</t>
  </si>
  <si>
    <t>SanDisk Mouse, Bluetooth</t>
  </si>
  <si>
    <t>Erica Hackney</t>
  </si>
  <si>
    <t>Stanley Pens, Water Color</t>
  </si>
  <si>
    <t>Ed Jacobs</t>
  </si>
  <si>
    <t>Novimex Executive Leather Armchair, Adjustable</t>
  </si>
  <si>
    <t>Stockwell Push Pins, 12 Pack</t>
  </si>
  <si>
    <t>Kunst Miller</t>
  </si>
  <si>
    <t>Accos Rubber Bands, 12 Pack</t>
  </si>
  <si>
    <t>Michael Nguyen</t>
  </si>
  <si>
    <t>Katrina Bavinger</t>
  </si>
  <si>
    <t>Advantus Light Bulb, Erganomic</t>
  </si>
  <si>
    <t>Duane Huffman</t>
  </si>
  <si>
    <t>Apple Audio Dock, VoIP</t>
  </si>
  <si>
    <t>Resi Pölking</t>
  </si>
  <si>
    <t>Michael Paige</t>
  </si>
  <si>
    <t>Bill Stewart</t>
  </si>
  <si>
    <t>Stockwell Staples, Metal</t>
  </si>
  <si>
    <t>Xerox Memo Slips, Premium</t>
  </si>
  <si>
    <t>Safco Corner Shelving, Traditional</t>
  </si>
  <si>
    <t>Acco Binding Machine, Economy</t>
  </si>
  <si>
    <t>Acme Ruler, Steel</t>
  </si>
  <si>
    <t>Susan Vittorini</t>
  </si>
  <si>
    <t>BIC Pens, Water Color</t>
  </si>
  <si>
    <t>Hon Shipping Labels, Laser Printer Compatible</t>
  </si>
  <si>
    <t>Wilson Jones Index Tab, Durable</t>
  </si>
  <si>
    <t>SanDisk Mouse, Programmable</t>
  </si>
  <si>
    <t>Sue Ann Reed</t>
  </si>
  <si>
    <t>Stefanie Holloman</t>
  </si>
  <si>
    <t>Matt Collister</t>
  </si>
  <si>
    <t>Monica Federle</t>
  </si>
  <si>
    <t>Accos Staples, Metal</t>
  </si>
  <si>
    <t>Sauder 3-Shelf Cabinet, Mobile</t>
  </si>
  <si>
    <t>Acco Index Tab, Economy</t>
  </si>
  <si>
    <t>Stockwell Paper Clips, Bulk Pack</t>
  </si>
  <si>
    <t>Wilson Jones Hole Reinforcements, Recycled</t>
  </si>
  <si>
    <t>Canon Copy Machine, Laser</t>
  </si>
  <si>
    <t>Smead File Cart, Single Width</t>
  </si>
  <si>
    <t>Jiffy Manila Envelope, Recycled</t>
  </si>
  <si>
    <t>Advantus Paper Clips, Bulk Pack</t>
  </si>
  <si>
    <t>Trudy Glocke</t>
  </si>
  <si>
    <t>Office Star Chairmat, Red</t>
  </si>
  <si>
    <t>Neil Ducich</t>
  </si>
  <si>
    <t>Elite Shears, Easy Grip</t>
  </si>
  <si>
    <t>Nokia Audio Dock, VoIP</t>
  </si>
  <si>
    <t>Tenex Stacking Tray, Erganomic</t>
  </si>
  <si>
    <t>Belkin Flash Drive, Erganomic</t>
  </si>
  <si>
    <t>Patricia Hirasaki</t>
  </si>
  <si>
    <t>Joseph Holt</t>
  </si>
  <si>
    <t>Cardinal Binder Covers, Economy</t>
  </si>
  <si>
    <t>BIC Canvas, Water Color</t>
  </si>
  <si>
    <t>Corey Roper</t>
  </si>
  <si>
    <t>SAFCO Bag Chairs, Set of Two</t>
  </si>
  <si>
    <t>Enermax Numeric Keypad, Erganomic</t>
  </si>
  <si>
    <t>Motorola Speaker Phone, Full Size</t>
  </si>
  <si>
    <t>Smead Trays, Industrial</t>
  </si>
  <si>
    <t>Rogers Box, Industrial</t>
  </si>
  <si>
    <t>Fiskars Box Cutter, Steel</t>
  </si>
  <si>
    <t>Joy Daniels</t>
  </si>
  <si>
    <t>SAFCO Rocking Chair, Set of Two</t>
  </si>
  <si>
    <t>Roland Schwarz</t>
  </si>
  <si>
    <t>SanDisk Computer Printout Paper, Recycled</t>
  </si>
  <si>
    <t>Nick Radford</t>
  </si>
  <si>
    <t>Hamilton Beach Blender, Silver</t>
  </si>
  <si>
    <t>Valencia</t>
  </si>
  <si>
    <t>Katherine Nockton</t>
  </si>
  <si>
    <t>Cardinal Binder Covers, Clear</t>
  </si>
  <si>
    <t>Luke Schmidt</t>
  </si>
  <si>
    <t>Sanford Pencil Sharpener, Water Color</t>
  </si>
  <si>
    <t>Alejandro Ballentine</t>
  </si>
  <si>
    <t>Robert Dilbeck</t>
  </si>
  <si>
    <t>Deflect-O Clock, Erganomic</t>
  </si>
  <si>
    <t>Nokia Office Telephone, Full Size</t>
  </si>
  <si>
    <t>Rogers Lockers, Blue</t>
  </si>
  <si>
    <t>Daniel Raglin</t>
  </si>
  <si>
    <t>Michelle Moray</t>
  </si>
  <si>
    <t>Cisco Smart Phone, Full Size</t>
  </si>
  <si>
    <t>Toby Ritter</t>
  </si>
  <si>
    <t>Rogers Lockers, Industrial</t>
  </si>
  <si>
    <t>SAFCO Chairmat, Adjustable</t>
  </si>
  <si>
    <t>Hewlett Personal Copier, Laser</t>
  </si>
  <si>
    <t>Avery Color Coded Labels, Laser Printer Compatible</t>
  </si>
  <si>
    <t>Chromcraft Coffee Table, Adjustable Height</t>
  </si>
  <si>
    <t>Meg O'Connel</t>
  </si>
  <si>
    <t>Enermax Cards &amp; Envelopes, Premium</t>
  </si>
  <si>
    <t>Nokia Speaker Phone, with Caller ID</t>
  </si>
  <si>
    <t>Kraft Clasp Envelope, Recycled</t>
  </si>
  <si>
    <t>Office Star Executive Leather Armchair, Black</t>
  </si>
  <si>
    <t>Mark Packer</t>
  </si>
  <si>
    <t>Office Star Executive Leather Armchair, Adjustable</t>
  </si>
  <si>
    <t>Ames Manila Envelope, Security-Tint</t>
  </si>
  <si>
    <t>Stockwell Paper Clips, Assorted Sizes</t>
  </si>
  <si>
    <t>Carlos Daly</t>
  </si>
  <si>
    <t>Novimex Chairmat, Adjustable</t>
  </si>
  <si>
    <t>Memorex Keyboard, USB</t>
  </si>
  <si>
    <t>Brian Stugart</t>
  </si>
  <si>
    <t>Ibico Hole Reinforcements, Durable</t>
  </si>
  <si>
    <t>Benjamin Farhat</t>
  </si>
  <si>
    <t>Dan Campbell</t>
  </si>
  <si>
    <t>Wilson Jones Binding Machine, Economy</t>
  </si>
  <si>
    <t>Avery Binding Machine, Recycled</t>
  </si>
  <si>
    <t>OIC Push Pins, Assorted Sizes</t>
  </si>
  <si>
    <t>Smead Trays, Blue</t>
  </si>
  <si>
    <t>Safco Corner Shelving, Pine</t>
  </si>
  <si>
    <t>Deflect-O Photo Frame, Duo Pack</t>
  </si>
  <si>
    <t>Cindy Chapman</t>
  </si>
  <si>
    <t>Fellowes Trays, Blue</t>
  </si>
  <si>
    <t>Giulietta Dortch</t>
  </si>
  <si>
    <t>Canon Wireless Fax, Color</t>
  </si>
  <si>
    <t>Chris Selesnick</t>
  </si>
  <si>
    <t>Russell Applegate</t>
  </si>
  <si>
    <t>Sanford Markers, Easy-Erase</t>
  </si>
  <si>
    <t>Stewart Carmichael</t>
  </si>
  <si>
    <t>Bart Pistole</t>
  </si>
  <si>
    <t>SanDisk Numeric Keypad, USB</t>
  </si>
  <si>
    <t>Samsung Speaker Phone, Cordless</t>
  </si>
  <si>
    <t>Eileen Kiefer</t>
  </si>
  <si>
    <t>Jeremy Lonsdale</t>
  </si>
  <si>
    <t>Stockwell Thumb Tacks, Bulk Pack</t>
  </si>
  <si>
    <t>Canon Fax and Copier, High-Speed</t>
  </si>
  <si>
    <t>Bart Folk</t>
  </si>
  <si>
    <t>Harbour Creations Executive Leather Armchair, Adjustable</t>
  </si>
  <si>
    <t>Sharp Copy Machine, Laser</t>
  </si>
  <si>
    <t>Sauder Classic Bookcase, Traditional</t>
  </si>
  <si>
    <t>Eldon Shelving, Single Width</t>
  </si>
  <si>
    <t>Duane Benoit</t>
  </si>
  <si>
    <t>Rubbermaid Stacking Tray, Durable</t>
  </si>
  <si>
    <t>Novimex Chairmat, Red</t>
  </si>
  <si>
    <t>Tenex Box, Single Width</t>
  </si>
  <si>
    <t>Michael Moore</t>
  </si>
  <si>
    <t>Hon File Folder Labels, Laser Printer Compatible</t>
  </si>
  <si>
    <t>Stiletto Letter Opener, Easy Grip</t>
  </si>
  <si>
    <t>Smead Removable Labels, Adjustable</t>
  </si>
  <si>
    <t>Elite Shears, Steel</t>
  </si>
  <si>
    <t>Mick Crebagga</t>
  </si>
  <si>
    <t>James Galang</t>
  </si>
  <si>
    <t>Brother Ink, Laser</t>
  </si>
  <si>
    <t>Xerox Memo Slips, Recycled</t>
  </si>
  <si>
    <t>Anemone Ratner</t>
  </si>
  <si>
    <t>Enermax Note Cards, 8.5 x 11</t>
  </si>
  <si>
    <t>Dorothy Badders</t>
  </si>
  <si>
    <t>Smead Lockers, Industrial</t>
  </si>
  <si>
    <t>Rubbermaid Frame, Durable</t>
  </si>
  <si>
    <t>Charlotte Melton</t>
  </si>
  <si>
    <t>Eldon Lockers, Wire Frame</t>
  </si>
  <si>
    <t>Enermax Message Books, 8.5 x 11</t>
  </si>
  <si>
    <t>Denny Joy</t>
  </si>
  <si>
    <t>Bill Donatelli</t>
  </si>
  <si>
    <t>Acco 3-Hole Punch, Durable</t>
  </si>
  <si>
    <t>Joni Wasserman</t>
  </si>
  <si>
    <t>Jiffy Peel and Seal, Recycled</t>
  </si>
  <si>
    <t>Eugene Hildebrand</t>
  </si>
  <si>
    <t>Bruce Degenhardt</t>
  </si>
  <si>
    <t>Cardinal 3-Hole Punch, Economy</t>
  </si>
  <si>
    <t>Fellowes Lockers, Wire Frame</t>
  </si>
  <si>
    <t>Theresa Coyne</t>
  </si>
  <si>
    <t>Brother Fax Machine, High-Speed</t>
  </si>
  <si>
    <t>Stockwell Thumb Tacks, 12 Pack</t>
  </si>
  <si>
    <t>Bobby Elias</t>
  </si>
  <si>
    <t>Memorex Numeric Keypad, Erganomic</t>
  </si>
  <si>
    <t>Stockwell Rubber Bands, Assorted Sizes</t>
  </si>
  <si>
    <t>Kleencut Box Cutter, High Speed</t>
  </si>
  <si>
    <t>Tenex Trays, Single Width</t>
  </si>
  <si>
    <t>Lisa Ryan</t>
  </si>
  <si>
    <t>Deflect-O Stacking Tray, Erganomic</t>
  </si>
  <si>
    <t>Eaton Memo Slips, Recycled</t>
  </si>
  <si>
    <t>Neil Französisch</t>
  </si>
  <si>
    <t>Deflect-O Frame, Black</t>
  </si>
  <si>
    <t>Advantus Door Stop, Black</t>
  </si>
  <si>
    <t>Nokia Speaker Phone, Cordless</t>
  </si>
  <si>
    <t>Eugene Moren</t>
  </si>
  <si>
    <t>Andrew Gjertsen</t>
  </si>
  <si>
    <t>Nora Preis</t>
  </si>
  <si>
    <t>Acco 3-Hole Punch, Recycled</t>
  </si>
  <si>
    <t>Matt Abelman</t>
  </si>
  <si>
    <t>Canon Fax Machine, Color</t>
  </si>
  <si>
    <t>Kraft Interoffice Envelope, Set of 50</t>
  </si>
  <si>
    <t>Canon Fax Machine, Digital</t>
  </si>
  <si>
    <t>Canon Fax and Copier, Digital</t>
  </si>
  <si>
    <t>Kleencut Letter Opener, Easy Grip</t>
  </si>
  <si>
    <t>Shirley Daniels</t>
  </si>
  <si>
    <t>Sauder Corner Shelving, Pine</t>
  </si>
  <si>
    <t>Harry Marie</t>
  </si>
  <si>
    <t>Robert Barroso</t>
  </si>
  <si>
    <t>Brother Fax and Copier, Laser</t>
  </si>
  <si>
    <t>Okidata Receipt Printer, Wireless</t>
  </si>
  <si>
    <t>Avery 3-Hole Punch, Durable</t>
  </si>
  <si>
    <t>Kleencut Shears, Steel</t>
  </si>
  <si>
    <t>Vicky Freymann</t>
  </si>
  <si>
    <t>Jeremy Pistek</t>
  </si>
  <si>
    <t>Joel Eaton</t>
  </si>
  <si>
    <t>Stockwell Thumb Tacks, Assorted Sizes</t>
  </si>
  <si>
    <t>Novimex Bag Chairs, Red</t>
  </si>
  <si>
    <t>Jane Waco</t>
  </si>
  <si>
    <t>SAFCO Bag Chairs, Adjustable</t>
  </si>
  <si>
    <t>Harbour Creations Bag Chairs, Black</t>
  </si>
  <si>
    <t>John Murray</t>
  </si>
  <si>
    <t>BIC Highlighters, Fluorescent</t>
  </si>
  <si>
    <t>Ibico 3-Hole Punch, Recycled</t>
  </si>
  <si>
    <t>Stanley Markers, Blue</t>
  </si>
  <si>
    <t>Green Bar Parchment Paper, Recycled</t>
  </si>
  <si>
    <t>Sally Matthias</t>
  </si>
  <si>
    <t>Stanley Highlighters, Easy-Erase</t>
  </si>
  <si>
    <t>GlobeWeis Peel and Seal, Set of 50</t>
  </si>
  <si>
    <t>Samsung Smart Phone, Full Size</t>
  </si>
  <si>
    <t>John Dryer</t>
  </si>
  <si>
    <t>Canon Copy Machine, High-Speed</t>
  </si>
  <si>
    <t>Gene Hale</t>
  </si>
  <si>
    <t>Patrick Ryan</t>
  </si>
  <si>
    <t>Acco Hole Reinforcements, Economy</t>
  </si>
  <si>
    <t>SAFCO Chairmat, Red</t>
  </si>
  <si>
    <t>Harbour Creations Legal Exhibit Labels, Laser Printer Compatible</t>
  </si>
  <si>
    <t>Art Foster</t>
  </si>
  <si>
    <t>Stiletto Box Cutter, Easy Grip</t>
  </si>
  <si>
    <t>Tenex Shelving, Industrial</t>
  </si>
  <si>
    <t>Novimex Swivel Stool, Black</t>
  </si>
  <si>
    <t>Maribeth Schnelling</t>
  </si>
  <si>
    <t>Sauder Corner Shelving, Metal</t>
  </si>
  <si>
    <t>Green Bar Memo Slips, Recycled</t>
  </si>
  <si>
    <t>Larry Hughes</t>
  </si>
  <si>
    <t>Elite Scissors, Easy Grip</t>
  </si>
  <si>
    <t>Christina Anderson</t>
  </si>
  <si>
    <t>Epson Phone, White</t>
  </si>
  <si>
    <t>Cameo Interoffice Envelope, Security-Tint</t>
  </si>
  <si>
    <t>Hon Rocking Chair, Red</t>
  </si>
  <si>
    <t>Saphhira Shifley</t>
  </si>
  <si>
    <t>Art Ferguson</t>
  </si>
  <si>
    <t>Binney &amp; Smith Pencil Sharpener, Easy-Erase</t>
  </si>
  <si>
    <t>Apple Office Telephone, Full Size</t>
  </si>
  <si>
    <t>Rob Dowd</t>
  </si>
  <si>
    <t>Advantus Door Stop, Erganomic</t>
  </si>
  <si>
    <t>Logitech Flash Drive, Erganomic</t>
  </si>
  <si>
    <t>Tenex Lockers, Blue</t>
  </si>
  <si>
    <t>Okidata Card Printer, Red</t>
  </si>
  <si>
    <t>Paul Lucas</t>
  </si>
  <si>
    <t>Wilson Jones 3-Hole Punch, Recycled</t>
  </si>
  <si>
    <t>Cuisinart Blender, White</t>
  </si>
  <si>
    <t>Apple Headset, Cordless</t>
  </si>
  <si>
    <t>Karen Seio</t>
  </si>
  <si>
    <t>Erica Hernandez</t>
  </si>
  <si>
    <t>Smead Trays, Single Width</t>
  </si>
  <si>
    <t>Joy Bell-</t>
  </si>
  <si>
    <t>Green Bar Memo Slips, Premium</t>
  </si>
  <si>
    <t>Logitech Mouse, USB</t>
  </si>
  <si>
    <t>BIC Markers, Water Color</t>
  </si>
  <si>
    <t>Michael Chen</t>
  </si>
  <si>
    <t>Kraft Manila Envelope, Recycled</t>
  </si>
  <si>
    <t>Advantus Stacking Tray, Erganomic</t>
  </si>
  <si>
    <t>Fellowes Lockers, Blue</t>
  </si>
  <si>
    <t>Sharp Personal Copier, High-Speed</t>
  </si>
  <si>
    <t>Darren Koutras</t>
  </si>
  <si>
    <t>Cisco Headset, Cordless</t>
  </si>
  <si>
    <t>Apple Smart Phone, Full Size</t>
  </si>
  <si>
    <t>Harbour Creations Legal Exhibit Labels, 5000 Label Set</t>
  </si>
  <si>
    <t>Novimex Rocking Chair, Red</t>
  </si>
  <si>
    <t>Enermax Memo Slips, Multicolor</t>
  </si>
  <si>
    <t>Belkin Mouse, Programmable</t>
  </si>
  <si>
    <t>Anthony O'Donnell</t>
  </si>
  <si>
    <t>Phillip Flathmann</t>
  </si>
  <si>
    <t>Novimex Bag Chairs, Set of Two</t>
  </si>
  <si>
    <t>Toby Carlisle</t>
  </si>
  <si>
    <t>Sean Wendt</t>
  </si>
  <si>
    <t>Smead Shelving, Blue</t>
  </si>
  <si>
    <t>Barry Franz</t>
  </si>
  <si>
    <t>Safco Classic Bookcase, Mobile</t>
  </si>
  <si>
    <t>Tom Ashbrook</t>
  </si>
  <si>
    <t>Boston Highlighters, Blue</t>
  </si>
  <si>
    <t>Cardinal Binder Covers, Durable</t>
  </si>
  <si>
    <t>Maurice Satty</t>
  </si>
  <si>
    <t>Bobby Trafton</t>
  </si>
  <si>
    <t>Konica Calculator, Wireless</t>
  </si>
  <si>
    <t>Dania Stackable Bookrack, Pine</t>
  </si>
  <si>
    <t>Cassandra Brandow</t>
  </si>
  <si>
    <t>Okidata Phone, White</t>
  </si>
  <si>
    <t>Ames Peel and Seal, Set of 50</t>
  </si>
  <si>
    <t>Dorothy Dickinson</t>
  </si>
  <si>
    <t>Hon Swivel Stool, Adjustable</t>
  </si>
  <si>
    <t>Sanford Pens, Easy-Erase</t>
  </si>
  <si>
    <t>Sauder Stackable Bookrack, Pine</t>
  </si>
  <si>
    <t>Justin Ellison</t>
  </si>
  <si>
    <t>Lesro Round Table, Rectangular</t>
  </si>
  <si>
    <t>Smead Shelving, Industrial</t>
  </si>
  <si>
    <t>Novimex Steel Folding Chair, Red</t>
  </si>
  <si>
    <t>Eldon Light Bulb, Erganomic</t>
  </si>
  <si>
    <t>Apple Office Telephone, with Caller ID</t>
  </si>
  <si>
    <t>Brother Fax Machine, Laser</t>
  </si>
  <si>
    <t>Hon Rocking Chair, Adjustable</t>
  </si>
  <si>
    <t>Belkin Flash Drive, Bluetooth</t>
  </si>
  <si>
    <t>Steve Chapman</t>
  </si>
  <si>
    <t>Hon Round Labels, 5000 Label Set</t>
  </si>
  <si>
    <t>Cardinal Binder, Economy</t>
  </si>
  <si>
    <t>Stockwell Staples, Assorted Sizes</t>
  </si>
  <si>
    <t>Avery Binder, Clear</t>
  </si>
  <si>
    <t>Eldon Light Bulb, Black</t>
  </si>
  <si>
    <t>Avery Index Tab, Durable</t>
  </si>
  <si>
    <t>Jennifer Ferguson</t>
  </si>
  <si>
    <t>Tenex Door Stop, Black</t>
  </si>
  <si>
    <t>GlobeWeis Peel and Seal, with clear poly window</t>
  </si>
  <si>
    <t>Hon Rocking Chair, Set of Two</t>
  </si>
  <si>
    <t>Thea Hudgings</t>
  </si>
  <si>
    <t>Epson Phone, Red</t>
  </si>
  <si>
    <t>Smead Round Labels, Alphabetical</t>
  </si>
  <si>
    <t>Acco Hole Reinforcements, Durable</t>
  </si>
  <si>
    <t>Muhammed Yedwab</t>
  </si>
  <si>
    <t>Brother Personal Copier, Color</t>
  </si>
  <si>
    <t>Konica Calculator, Durable</t>
  </si>
  <si>
    <t>Belkin Keyboard, Bluetooth</t>
  </si>
  <si>
    <t>Dania Floating Shelf Set, Mobile</t>
  </si>
  <si>
    <t>Cardinal Hole Reinforcements, Recycled</t>
  </si>
  <si>
    <t>Advantus Frame, Erganomic</t>
  </si>
  <si>
    <t>Belkin Memory Card, USB</t>
  </si>
  <si>
    <t>Justin Hirsh</t>
  </si>
  <si>
    <t>Mick Hernandez</t>
  </si>
  <si>
    <t>Sanford Markers, Blue</t>
  </si>
  <si>
    <t>Jill Fjeld</t>
  </si>
  <si>
    <t>Enermax Mouse, Bluetooth</t>
  </si>
  <si>
    <t>SAFCO Executive Leather Armchair, Adjustable</t>
  </si>
  <si>
    <t>Novimex Removable Labels, Laser Printer Compatible</t>
  </si>
  <si>
    <t>Canon Fax Machine, High-Speed</t>
  </si>
  <si>
    <t>Novimex Color Coded Labels, 5000 Label Set</t>
  </si>
  <si>
    <t>Anna Andreadi</t>
  </si>
  <si>
    <t>BIC Sketch Pad, Water Color</t>
  </si>
  <si>
    <t>Eldon Stacking Tray, Durable</t>
  </si>
  <si>
    <t>Elite Trimmer, Serrated</t>
  </si>
  <si>
    <t>Brother Personal Copier, Laser</t>
  </si>
  <si>
    <t>Greg Matthias</t>
  </si>
  <si>
    <t>Nokia Office Telephone, Cordless</t>
  </si>
  <si>
    <t>Apple Smart Phone, Cordless</t>
  </si>
  <si>
    <t>Julie Prescott</t>
  </si>
  <si>
    <t>Bobby Odegard</t>
  </si>
  <si>
    <t>Fred Hopkins</t>
  </si>
  <si>
    <t>Jill Stevenson</t>
  </si>
  <si>
    <t>Dave Hallsten</t>
  </si>
  <si>
    <t>Mitch Willingham</t>
  </si>
  <si>
    <t>Sanford Canvas, Easy-Erase</t>
  </si>
  <si>
    <t>Hon Bag Chairs, Set of Two</t>
  </si>
  <si>
    <t>Kelly Andreada</t>
  </si>
  <si>
    <t>Tenex Frame, Black</t>
  </si>
  <si>
    <t>Andrew Allen</t>
  </si>
  <si>
    <t>Office Star Executive Leather Armchair, Red</t>
  </si>
  <si>
    <t>Maureen Gastineau</t>
  </si>
  <si>
    <t>Hewlett Fax and Copier, Color</t>
  </si>
  <si>
    <t>Richard Bierner</t>
  </si>
  <si>
    <t>Logitech Mouse, Erganomic</t>
  </si>
  <si>
    <t>Hon Swivel Stool, Black</t>
  </si>
  <si>
    <t>Pete Armstrong</t>
  </si>
  <si>
    <t>Avery Shipping Labels, Laser Printer Compatible</t>
  </si>
  <si>
    <t>Nokia Office Telephone, with Caller ID</t>
  </si>
  <si>
    <t>John Castell</t>
  </si>
  <si>
    <t>Adam Bellavance</t>
  </si>
  <si>
    <t>Stiletto Scissors, Easy Grip</t>
  </si>
  <si>
    <t>Ibico Index Tab, Durable</t>
  </si>
  <si>
    <t>Randy Ferguson</t>
  </si>
  <si>
    <t>Advantus Staples, 12 Pack</t>
  </si>
  <si>
    <t>Logitech Keyboard, Bluetooth</t>
  </si>
  <si>
    <t>Harbour Creations Chairmat, Red</t>
  </si>
  <si>
    <t>Avery Color Coded Labels, 5000 Label Set</t>
  </si>
  <si>
    <t>Erica Bern</t>
  </si>
  <si>
    <t>OIC Push Pins, Metal</t>
  </si>
  <si>
    <t>Joe Kamberova</t>
  </si>
  <si>
    <t>Cameo Interoffice Envelope, Recycled</t>
  </si>
  <si>
    <t>Harbour Creations Rocking Chair, Red</t>
  </si>
  <si>
    <t>Ames Peel and Seal, Security-Tint</t>
  </si>
  <si>
    <t>Dan Lawera</t>
  </si>
  <si>
    <t>David Kendrick</t>
  </si>
  <si>
    <t>Xerox Cards &amp; Envelopes, Recycled</t>
  </si>
  <si>
    <t>Elite Trimmer, High Speed</t>
  </si>
  <si>
    <t>Dave Kipp</t>
  </si>
  <si>
    <t>Sean O'Donnell</t>
  </si>
  <si>
    <t>Belkin Mouse, USB</t>
  </si>
  <si>
    <t>Smead Color Coded Labels, Laser Printer Compatible</t>
  </si>
  <si>
    <t>Greg Maxwell</t>
  </si>
  <si>
    <t>Randy Bradley</t>
  </si>
  <si>
    <t>Acco Hole Reinforcements, Recycled</t>
  </si>
  <si>
    <t>Acme Shears, Steel</t>
  </si>
  <si>
    <t>Novimex Color Coded Labels, Alphabetical</t>
  </si>
  <si>
    <t>Liz Willingham</t>
  </si>
  <si>
    <t>Ted Trevino</t>
  </si>
  <si>
    <t>Tenex Lockers, Single Width</t>
  </si>
  <si>
    <t>Barricks Training Table, Fully Assembled</t>
  </si>
  <si>
    <t>Eldon Trays, Single Width</t>
  </si>
  <si>
    <t>Ikea Stackable Bookrack, Traditional</t>
  </si>
  <si>
    <t>Belkin Router, Programmable</t>
  </si>
  <si>
    <t>Victoria Brennan</t>
  </si>
  <si>
    <t>SanDisk Router, Bluetooth</t>
  </si>
  <si>
    <t>Avery Shipping Labels, Alphabetical</t>
  </si>
  <si>
    <t>Elite Letter Opener, Easy Grip</t>
  </si>
  <si>
    <t>Scott Cohen</t>
  </si>
  <si>
    <t>Shirley Schmidt</t>
  </si>
  <si>
    <t>Craig Carreira</t>
  </si>
  <si>
    <t>Rubbermaid Photo Frame, Duo Pack</t>
  </si>
  <si>
    <t>Roland Murray</t>
  </si>
  <si>
    <t>Theresa Swint</t>
  </si>
  <si>
    <t>Patrick O'Donnell</t>
  </si>
  <si>
    <t>Logitech Memory Card, USB</t>
  </si>
  <si>
    <t>Acco 3-Hole Punch, Clear</t>
  </si>
  <si>
    <t>HP Wireless Fax, High-Speed</t>
  </si>
  <si>
    <t>Charles McCrossin</t>
  </si>
  <si>
    <t>Dean Braden</t>
  </si>
  <si>
    <t>Keith Herrera</t>
  </si>
  <si>
    <t>Acco Binder Covers, Recycled</t>
  </si>
  <si>
    <t>SAFCO Swivel Stool, Black</t>
  </si>
  <si>
    <t>Carl Weiss</t>
  </si>
  <si>
    <t>Deflect-O Door Stop, Durable</t>
  </si>
  <si>
    <t>Roy Phan</t>
  </si>
  <si>
    <t>Kraft Business Envelopes, Recycled</t>
  </si>
  <si>
    <t>Memorex Flash Drive, Programmable</t>
  </si>
  <si>
    <t>Elite Scissors, Serrated</t>
  </si>
  <si>
    <t>Hon Removable Labels, Adjustable</t>
  </si>
  <si>
    <t>Steven Ward</t>
  </si>
  <si>
    <t>Smead Lockers, Blue</t>
  </si>
  <si>
    <t>SAFCO Swivel Stool, Set of Two</t>
  </si>
  <si>
    <t>Binney &amp; Smith Canvas, Water Color</t>
  </si>
  <si>
    <t>Boston Markers, Water Color</t>
  </si>
  <si>
    <t>Jasper Cacioppo</t>
  </si>
  <si>
    <t>Boston Pens, Easy-Erase</t>
  </si>
  <si>
    <t>Chuck Clark</t>
  </si>
  <si>
    <t>Barry Blumstein</t>
  </si>
  <si>
    <t>Samsung Audio Dock, Cordless</t>
  </si>
  <si>
    <t>Noel Staavos</t>
  </si>
  <si>
    <t>Lesro Wood Table, Rectangular</t>
  </si>
  <si>
    <t>Sanford Pencil Sharpener, Easy-Erase</t>
  </si>
  <si>
    <t>Gary Hwang</t>
  </si>
  <si>
    <t>BIC Sketch Pad, Fluorescent</t>
  </si>
  <si>
    <t>Cisco Speaker Phone, Cordless</t>
  </si>
  <si>
    <t>SAFCO Swivel Stool, Red</t>
  </si>
  <si>
    <t>Wilson Jones Binder Covers, Durable</t>
  </si>
  <si>
    <t>Advantus Stacking Tray, Durable</t>
  </si>
  <si>
    <t>Eldon Photo Frame, Black</t>
  </si>
  <si>
    <t>Ben Ferrer</t>
  </si>
  <si>
    <t>Cardinal 3-Hole Punch, Durable</t>
  </si>
  <si>
    <t>Office Star Swivel Stool, Set of Two</t>
  </si>
  <si>
    <t>Eric Murdock</t>
  </si>
  <si>
    <t>Tenex Clock, Black</t>
  </si>
  <si>
    <t>Peter Fuller</t>
  </si>
  <si>
    <t>Neola Schneider</t>
  </si>
  <si>
    <t>Acme Letter Opener, Easy Grip</t>
  </si>
  <si>
    <t>Avery Binder, Economy</t>
  </si>
  <si>
    <t>SanDisk Memo Slips, 8.5 x 11</t>
  </si>
  <si>
    <t>Stockwell Clamps, Assorted Sizes</t>
  </si>
  <si>
    <t>Valerie Mitchum</t>
  </si>
  <si>
    <t>Christopher Schild</t>
  </si>
  <si>
    <t>Nathan Gelder</t>
  </si>
  <si>
    <t>Hon File Folder Labels, 5000 Label Set</t>
  </si>
  <si>
    <t>Andy Reiter</t>
  </si>
  <si>
    <t>GlobeWeis Business Envelopes, Set of 50</t>
  </si>
  <si>
    <t>Amy Hunt</t>
  </si>
  <si>
    <t>Sauder Stackable Bookrack, Mobile</t>
  </si>
  <si>
    <t>Accos Clamps, Metal</t>
  </si>
  <si>
    <t>Stiletto Shears, Steel</t>
  </si>
  <si>
    <t>Thea Hendricks</t>
  </si>
  <si>
    <t>Cuisinart Stove, Red</t>
  </si>
  <si>
    <t>BIC Sketch Pad, Blue</t>
  </si>
  <si>
    <t>Eaton Memo Slips, Premium</t>
  </si>
  <si>
    <t>Epson Calculator, Durable</t>
  </si>
  <si>
    <t>Rubbermaid Light Bulb, Black</t>
  </si>
  <si>
    <t>Deflect-O Door Stop, Black</t>
  </si>
  <si>
    <t>Nokia Headset, with Caller ID</t>
  </si>
  <si>
    <t>Bush Library with Doors, Metal</t>
  </si>
  <si>
    <t>Aaron Hawkins</t>
  </si>
  <si>
    <t>Hamilton Beach Toaster, White</t>
  </si>
  <si>
    <t>Cari Schnelling</t>
  </si>
  <si>
    <t>Ritsa Hightower</t>
  </si>
  <si>
    <t>Canon Fax Machine, Laser</t>
  </si>
  <si>
    <t>Smead Round Labels, Laser Printer Compatible</t>
  </si>
  <si>
    <t>Michael Kennedy</t>
  </si>
  <si>
    <t>Accos Clamps, Bulk Pack</t>
  </si>
  <si>
    <t>Damala Kotsonis</t>
  </si>
  <si>
    <t>Jiffy Mailers, Recycled</t>
  </si>
  <si>
    <t>Accos Clamps, 12 Pack</t>
  </si>
  <si>
    <t>Christopher Martinez</t>
  </si>
  <si>
    <t>Advantus Clock, Duo Pack</t>
  </si>
  <si>
    <t>Accos Paper Clips, Assorted Sizes</t>
  </si>
  <si>
    <t>Hon Bag Chairs, Black</t>
  </si>
  <si>
    <t>Ricardo Emerson</t>
  </si>
  <si>
    <t>Hon Steel Folding Chair, Adjustable</t>
  </si>
  <si>
    <t>Advantus Staples, Assorted Sizes</t>
  </si>
  <si>
    <t>Janet Molinari</t>
  </si>
  <si>
    <t>Sonia Sunley</t>
  </si>
  <si>
    <t>Smead Trays, Wire Frame</t>
  </si>
  <si>
    <t>Wilson Jones Binder, Recycled</t>
  </si>
  <si>
    <t>Office Star Rocking Chair, Black</t>
  </si>
  <si>
    <t>Julia Barnett</t>
  </si>
  <si>
    <t>Brian DeCherney</t>
  </si>
  <si>
    <t>Harbour Creations Removable Labels, Laser Printer Compatible</t>
  </si>
  <si>
    <t>Scot Wooten</t>
  </si>
  <si>
    <t>Avery Binding Machine, Economy</t>
  </si>
  <si>
    <t>Stanley Canvas, Fluorescent</t>
  </si>
  <si>
    <t>Joy Smith</t>
  </si>
  <si>
    <t>Nokia Smart Phone, Cordless</t>
  </si>
  <si>
    <t>Nokia Signal Booster, with Caller ID</t>
  </si>
  <si>
    <t>KitchenAid Toaster, Black</t>
  </si>
  <si>
    <t>Zuschuss Donatelli</t>
  </si>
  <si>
    <t>Giulietta Weimer</t>
  </si>
  <si>
    <t>OIC Thumb Tacks, Bulk Pack</t>
  </si>
  <si>
    <t>Roy Collins</t>
  </si>
  <si>
    <t>Carol Adams</t>
  </si>
  <si>
    <t>Breville Microwave, Red</t>
  </si>
  <si>
    <t>Rogers Folders, Blue</t>
  </si>
  <si>
    <t>SanDisk Cards &amp; Envelopes, Recycled</t>
  </si>
  <si>
    <t>Advantus Frame, Durable</t>
  </si>
  <si>
    <t>Larry Tron</t>
  </si>
  <si>
    <t>Enermax Memo Slips, Premium</t>
  </si>
  <si>
    <t>Rogers Box, Wire Frame</t>
  </si>
  <si>
    <t>Paul Van Hugh</t>
  </si>
  <si>
    <t>Stefania Perrino</t>
  </si>
  <si>
    <t>Liz Preis</t>
  </si>
  <si>
    <t>Peter McVee</t>
  </si>
  <si>
    <t>Cisco Speaker Phone, with Caller ID</t>
  </si>
  <si>
    <t>Hamilton Beach Toaster, Red</t>
  </si>
  <si>
    <t>Avery Round Labels, Laser Printer Compatible</t>
  </si>
  <si>
    <t>Hewlett Wireless Fax, High-Speed</t>
  </si>
  <si>
    <t>Arthur Gainer</t>
  </si>
  <si>
    <t>Lori Olson</t>
  </si>
  <si>
    <t>Muhammed MacIntyre</t>
  </si>
  <si>
    <t>Sharp Copy Machine, Color</t>
  </si>
  <si>
    <t>Elizabeth Moffitt</t>
  </si>
  <si>
    <t>Kraft Clasp Envelope, Set of 50</t>
  </si>
  <si>
    <t>Allen Rosenblatt</t>
  </si>
  <si>
    <t>Pamela Coakley</t>
  </si>
  <si>
    <t>Safco Library with Doors, Traditional</t>
  </si>
  <si>
    <t>Mike Pelletier</t>
  </si>
  <si>
    <t>Elpida Rittenbach</t>
  </si>
  <si>
    <t>KitchenAid Toaster, White</t>
  </si>
  <si>
    <t>Cisco Audio Dock, Full Size</t>
  </si>
  <si>
    <t>Tenex Photo Frame, Durable</t>
  </si>
  <si>
    <t>Eldon Light Bulb, Duo Pack</t>
  </si>
  <si>
    <t>Kean Thornton</t>
  </si>
  <si>
    <t>Novimex Round Labels, Laser Printer Compatible</t>
  </si>
  <si>
    <t>Safco 3-Shelf Cabinet, Metal</t>
  </si>
  <si>
    <t>Harbour Creations Executive Leather Armchair, Red</t>
  </si>
  <si>
    <t>Avery Binder, Durable</t>
  </si>
  <si>
    <t>Harbour Creations Round Labels, 5000 Label Set</t>
  </si>
  <si>
    <t>Memorex Numeric Keypad, Bluetooth</t>
  </si>
  <si>
    <t>Novimex Legal Exhibit Labels, Laser Printer Compatible</t>
  </si>
  <si>
    <t>Cardinal Binding Machine, Clear</t>
  </si>
  <si>
    <t>Cisco Smart Phone, Cordless</t>
  </si>
  <si>
    <t>Epson Receipt Printer, Wireless</t>
  </si>
  <si>
    <t>Chloris Kastensmidt</t>
  </si>
  <si>
    <t>Novimex Rocking Chair, Set of Two</t>
  </si>
  <si>
    <t>Darrin Martin</t>
  </si>
  <si>
    <t>Pauline Chand</t>
  </si>
  <si>
    <t>Logitech Mouse, Bluetooth</t>
  </si>
  <si>
    <t>Hewlett Copy Machine, Laser</t>
  </si>
  <si>
    <t>Samsung Smart Phone, with Caller ID</t>
  </si>
  <si>
    <t>Hallie Redmond</t>
  </si>
  <si>
    <t>Shahid Collister</t>
  </si>
  <si>
    <t>Eldon Stacking Tray, Erganomic</t>
  </si>
  <si>
    <t>Kraft Interoffice Envelope, with clear poly window</t>
  </si>
  <si>
    <t>Okidata Printer, Wireless</t>
  </si>
  <si>
    <t>Ashley Jarboe</t>
  </si>
  <si>
    <t>Apple Speaker Phone, Full Size</t>
  </si>
  <si>
    <t>Chromcraft Round Table, Adjustable Height</t>
  </si>
  <si>
    <t>Henia Zydlo</t>
  </si>
  <si>
    <t>Tenex Photo Frame, Black</t>
  </si>
  <si>
    <t>Enermax Keyboard, Erganomic</t>
  </si>
  <si>
    <t>HP Fax and Copier, High-Speed</t>
  </si>
  <si>
    <t>Michelle Tran</t>
  </si>
  <si>
    <t>Avery Round Labels, Alphabetical</t>
  </si>
  <si>
    <t>Novimex Executive Leather Armchair, Red</t>
  </si>
  <si>
    <t>Novimex Bag Chairs, Adjustable</t>
  </si>
  <si>
    <t>Ikea 3-Shelf Cabinet, Traditional</t>
  </si>
  <si>
    <t>Breville Stove, Silver</t>
  </si>
  <si>
    <t>Bush Corner Shelving, Mobile</t>
  </si>
  <si>
    <t>Nat Gilpin</t>
  </si>
  <si>
    <t>Ames Mailers, with clear poly window</t>
  </si>
  <si>
    <t>Harbour Creations Executive Leather Armchair, Black</t>
  </si>
  <si>
    <t>Hamilton Beach Coffee Grinder, Silver</t>
  </si>
  <si>
    <t>Green Bar Message Books, Premium</t>
  </si>
  <si>
    <t>Helen Abelman</t>
  </si>
  <si>
    <t>Roger Barcio</t>
  </si>
  <si>
    <t>Fred McMath</t>
  </si>
  <si>
    <t>Smead Box, Wire Frame</t>
  </si>
  <si>
    <t>Sharp Wireless Fax, Color</t>
  </si>
  <si>
    <t>Nokia Speaker Phone, Full Size</t>
  </si>
  <si>
    <t>Eaton Computer Printout Paper, Multicolor</t>
  </si>
  <si>
    <t>Luke Weiss</t>
  </si>
  <si>
    <t>Avery Shipping Labels, 5000 Label Set</t>
  </si>
  <si>
    <t>Eldon Stacking Tray, Black</t>
  </si>
  <si>
    <t>Safco Corner Shelving, Metal</t>
  </si>
  <si>
    <t>Sauder Corner Shelving, Mobile</t>
  </si>
  <si>
    <t>Kleencut Ruler, Steel</t>
  </si>
  <si>
    <t>Liz Thompson</t>
  </si>
  <si>
    <t>Cisco Office Telephone, Full Size</t>
  </si>
  <si>
    <t>John Grady</t>
  </si>
  <si>
    <t>Sanjit Jacobs</t>
  </si>
  <si>
    <t>Dania Stackable Bookrack, Traditional</t>
  </si>
  <si>
    <t>Avery Removable Labels, Alphabetical</t>
  </si>
  <si>
    <t>Cisco Office Telephone, with Caller ID</t>
  </si>
  <si>
    <t>Eaton Parchment Paper, Multicolor</t>
  </si>
  <si>
    <t>Harbour Creations Shipping Labels, Adjustable</t>
  </si>
  <si>
    <t>Rubbermaid Clock, Erganomic</t>
  </si>
  <si>
    <t>Wilson Jones 3-Hole Punch, Clear</t>
  </si>
  <si>
    <t>Stiletto Box Cutter, High Speed</t>
  </si>
  <si>
    <t>Brendan Sweed</t>
  </si>
  <si>
    <t>Bush Classic Bookcase, Pine</t>
  </si>
  <si>
    <t>Dania 3-Shelf Cabinet, Traditional</t>
  </si>
  <si>
    <t>Advantus Clamps, Bulk Pack</t>
  </si>
  <si>
    <t>Philisse Overcash</t>
  </si>
  <si>
    <t>Eaton Cards &amp; Envelopes, Premium</t>
  </si>
  <si>
    <t>Brother Fax and Copier, Color</t>
  </si>
  <si>
    <t>Logitech Memory Card, Erganomic</t>
  </si>
  <si>
    <t>Cathy Hwang</t>
  </si>
  <si>
    <t>Eldon Box, Industrial</t>
  </si>
  <si>
    <t>Brother Personal Copier, Digital</t>
  </si>
  <si>
    <t>Rubbermaid Light Bulb, Durable</t>
  </si>
  <si>
    <t>Cisco Audio Dock, with Caller ID</t>
  </si>
  <si>
    <t>Luke Foster</t>
  </si>
  <si>
    <t>Elite Shears, High Speed</t>
  </si>
  <si>
    <t>Anne McFarland</t>
  </si>
  <si>
    <t>SanDisk Message Books, 8.5 x 11</t>
  </si>
  <si>
    <t>Ibico Binder Covers, Recycled</t>
  </si>
  <si>
    <t>Harbour Creations Chairmat, Adjustable</t>
  </si>
  <si>
    <t>Logitech Router, Programmable</t>
  </si>
  <si>
    <t>Nicole Brennan</t>
  </si>
  <si>
    <t>Green Bar Computer Printout Paper, Multicolor</t>
  </si>
  <si>
    <t>Smead Removable Labels, 5000 Label Set</t>
  </si>
  <si>
    <t>StarTech Printer, Red</t>
  </si>
  <si>
    <t>Valerie Dominguez</t>
  </si>
  <si>
    <t>Natalie Fritzler</t>
  </si>
  <si>
    <t>Acco Binder Covers, Economy</t>
  </si>
  <si>
    <t>Ivan Gibson</t>
  </si>
  <si>
    <t>Eaton Note Cards, Multicolor</t>
  </si>
  <si>
    <t>Fiskars Box Cutter, High Speed</t>
  </si>
  <si>
    <t>Brian Dahlen</t>
  </si>
  <si>
    <t>Boston Markers, Easy-Erase</t>
  </si>
  <si>
    <t>Hewlett Personal Copier, Color</t>
  </si>
  <si>
    <t>Neoma Murray</t>
  </si>
  <si>
    <t>GlobeWeis Business Envelopes, Security-Tint</t>
  </si>
  <si>
    <t>Avery File Folder Labels, Laser Printer Compatible</t>
  </si>
  <si>
    <t>Smead File Folder Labels, Laser Printer Compatible</t>
  </si>
  <si>
    <t>Boston Sketch Pad, Water Color</t>
  </si>
  <si>
    <t>Avery Index Tab, Economy</t>
  </si>
  <si>
    <t>Panasonic Card Printer, White</t>
  </si>
  <si>
    <t>Robert Marley</t>
  </si>
  <si>
    <t>Cameo Business Envelopes, Recycled</t>
  </si>
  <si>
    <t>Hoover Stove, White</t>
  </si>
  <si>
    <t>Rubbermaid Clock, Durable</t>
  </si>
  <si>
    <t>Breville Microwave, White</t>
  </si>
  <si>
    <t>SanDisk Router, Erganomic</t>
  </si>
  <si>
    <t>KitchenAid Coffee Grinder, Silver</t>
  </si>
  <si>
    <t>Kleencut Letter Opener, Steel</t>
  </si>
  <si>
    <t>Hon Executive Leather Armchair, Red</t>
  </si>
  <si>
    <t>Rachel Payne</t>
  </si>
  <si>
    <t>Eldon Photo Frame, Duo Pack</t>
  </si>
  <si>
    <t>Eldon Door Stop, Durable</t>
  </si>
  <si>
    <t>Brendan Murry</t>
  </si>
  <si>
    <t>Motorola Audio Dock, Cordless</t>
  </si>
  <si>
    <t>Susan MacKendrick</t>
  </si>
  <si>
    <t>Logitech Keyboard, Programmable</t>
  </si>
  <si>
    <t>Fiskars Ruler, High Speed</t>
  </si>
  <si>
    <t>Jiffy Peel and Seal, Set of 50</t>
  </si>
  <si>
    <t>Jiffy Interoffice Envelope, Security-Tint</t>
  </si>
  <si>
    <t>Hoover Stove, Silver</t>
  </si>
  <si>
    <t>Brad Eason</t>
  </si>
  <si>
    <t>Hamilton Beach Refrigerator, Black</t>
  </si>
  <si>
    <t>Hon Shipping Labels, 5000 Label Set</t>
  </si>
  <si>
    <t>Binney &amp; Smith Sketch Pad, Fluorescent</t>
  </si>
  <si>
    <t>Rogers Folders, Wire Frame</t>
  </si>
  <si>
    <t>Deborah Brumfield</t>
  </si>
  <si>
    <t>Epson Printer, Red</t>
  </si>
  <si>
    <t>OIC Thumb Tacks, 12 Pack</t>
  </si>
  <si>
    <t>Canon Fax and Copier, Color</t>
  </si>
  <si>
    <t>Sanford Sketch Pad, Blue</t>
  </si>
  <si>
    <t>HP Ink, High-Speed</t>
  </si>
  <si>
    <t>SAFCO Executive Leather Armchair, Black</t>
  </si>
  <si>
    <t>Bush 3-Shelf Cabinet, Mobile</t>
  </si>
  <si>
    <t>Stiletto Trimmer, Steel</t>
  </si>
  <si>
    <t>HP Ink, Digital</t>
  </si>
  <si>
    <t>Kleencut Shears, High Speed</t>
  </si>
  <si>
    <t>Edward Nazzal</t>
  </si>
  <si>
    <t>George Ashbrook</t>
  </si>
  <si>
    <t>Anna Gayman</t>
  </si>
  <si>
    <t>GlobeWeis Interoffice Envelope, Recycled</t>
  </si>
  <si>
    <t>Hewlett Wireless Fax, Digital</t>
  </si>
  <si>
    <t>SanDisk Note Cards, 8.5 x 11</t>
  </si>
  <si>
    <t>OIC Clamps, 12 Pack</t>
  </si>
  <si>
    <t>Memorex Router, Programmable</t>
  </si>
  <si>
    <t>Alex Avila</t>
  </si>
  <si>
    <t>Okidata Card Printer, Durable</t>
  </si>
  <si>
    <t>Tenex Door Stop, Durable</t>
  </si>
  <si>
    <t>Fiskars Box Cutter, Easy Grip</t>
  </si>
  <si>
    <t>Cuisinart Coffee Grinder, Silver</t>
  </si>
  <si>
    <t>Liz MacKendrick</t>
  </si>
  <si>
    <t>Roland Fjeld</t>
  </si>
  <si>
    <t>Ikea Stackable Bookrack, Pine</t>
  </si>
  <si>
    <t>Hoover Coffee Grinder, White</t>
  </si>
  <si>
    <t>Binney &amp; Smith Highlighters, Blue</t>
  </si>
  <si>
    <t>Accos Push Pins, 12 Pack</t>
  </si>
  <si>
    <t>Eldon Photo Frame, Durable</t>
  </si>
  <si>
    <t>Rogers Folders, Industrial</t>
  </si>
  <si>
    <t>BIC Sketch Pad, Easy-Erase</t>
  </si>
  <si>
    <t>Xerox Memo Slips, Multicolor</t>
  </si>
  <si>
    <t>Sharp Wireless Fax, High-Speed</t>
  </si>
  <si>
    <t>Acme Shears, High Speed</t>
  </si>
  <si>
    <t>Enermax Computer Printout Paper, Multicolor</t>
  </si>
  <si>
    <t>HP Personal Copier, High-Speed</t>
  </si>
  <si>
    <t>Hewlett Ink, Color</t>
  </si>
  <si>
    <t>Henry MacAllister</t>
  </si>
  <si>
    <t>Acco Binder Covers, Durable</t>
  </si>
  <si>
    <t>Shahid Hopkins</t>
  </si>
  <si>
    <t>Ames Clasp Envelope, with clear poly window</t>
  </si>
  <si>
    <t>Ikea Library with Doors, Metal</t>
  </si>
  <si>
    <t>Konica Card Printer, Durable</t>
  </si>
  <si>
    <t>Hunter Lopez</t>
  </si>
  <si>
    <t>OIC Rubber Bands, 12 Pack</t>
  </si>
  <si>
    <t>Boston Pens, Water Color</t>
  </si>
  <si>
    <t>Nicole Hansen</t>
  </si>
  <si>
    <t>Eaton Cards &amp; Envelopes, Recycled</t>
  </si>
  <si>
    <t>StarTech Card Printer, White</t>
  </si>
  <si>
    <t>Rogers Trays, Industrial</t>
  </si>
  <si>
    <t>Laurel Elliston</t>
  </si>
  <si>
    <t>Epson Card Printer, Red</t>
  </si>
  <si>
    <t>Chromcraft Round Table, with Bottom Storage</t>
  </si>
  <si>
    <t>Konica Phone, Red</t>
  </si>
  <si>
    <t>Chromcraft Wood Table, Fully Assembled</t>
  </si>
  <si>
    <t>Panasonic Phone, Wireless</t>
  </si>
  <si>
    <t>Laura Armstrong</t>
  </si>
  <si>
    <t>Avery Round Labels, Adjustable</t>
  </si>
  <si>
    <t>Elite Ruler, Easy Grip</t>
  </si>
  <si>
    <t>Stanley Pencil Sharpener, Fluorescent</t>
  </si>
  <si>
    <t>Tom Stivers</t>
  </si>
  <si>
    <t>Okidata Card Printer, Wireless</t>
  </si>
  <si>
    <t>Bill Tyler</t>
  </si>
  <si>
    <t>Konica Phone, Durable</t>
  </si>
  <si>
    <t>StarTech Printer, Durable</t>
  </si>
  <si>
    <t>Cynthia Voltz</t>
  </si>
  <si>
    <t>Nokia Audio Dock, with Caller ID</t>
  </si>
  <si>
    <t>Binney &amp; Smith Sketch Pad, Water Color</t>
  </si>
  <si>
    <t>Enermax Cards &amp; Envelopes, 8.5 x 11</t>
  </si>
  <si>
    <t>Hon Training Table, Fully Assembled</t>
  </si>
  <si>
    <t>Emily Phan</t>
  </si>
  <si>
    <t>Konica Phone, White</t>
  </si>
  <si>
    <t>Returned</t>
  </si>
  <si>
    <t>Yes</t>
  </si>
  <si>
    <t>Person</t>
  </si>
  <si>
    <t>Boston Canvas, Blue</t>
  </si>
  <si>
    <t>Okidata Receipt Printer, Durable</t>
  </si>
  <si>
    <t>Cameo Peel and Seal, Recycled</t>
  </si>
  <si>
    <t>Stiletto Ruler, Serrated</t>
  </si>
  <si>
    <t>Okidata Printer, White</t>
  </si>
  <si>
    <t>Epson Receipt Printer, Red</t>
  </si>
  <si>
    <t>Panasonic Phone, Red</t>
  </si>
  <si>
    <t>Lesro Round Table, Fully Assembled</t>
  </si>
  <si>
    <t>Konica Inkjet, Durable</t>
  </si>
  <si>
    <t>Caloocan</t>
  </si>
  <si>
    <t>National Capital</t>
  </si>
  <si>
    <t>Philippines</t>
  </si>
  <si>
    <t>West</t>
  </si>
  <si>
    <t>Makati</t>
  </si>
  <si>
    <t>Manila</t>
  </si>
  <si>
    <t>Pasig</t>
  </si>
  <si>
    <t>Barricks Training Table, Adjustable Height</t>
  </si>
  <si>
    <t>Las Pinas</t>
  </si>
  <si>
    <t>Valenzuela</t>
  </si>
  <si>
    <t>Calabarzon</t>
  </si>
  <si>
    <t>Baguio City</t>
  </si>
  <si>
    <t>Cordillera</t>
  </si>
  <si>
    <t>San Jose del Monte</t>
  </si>
  <si>
    <t>Central Luzon</t>
  </si>
  <si>
    <t>Antipolo</t>
  </si>
  <si>
    <t>Angeles City</t>
  </si>
  <si>
    <t>Bacoor</t>
  </si>
  <si>
    <t>Northern Mindanao</t>
  </si>
  <si>
    <t>Calamba</t>
  </si>
  <si>
    <t>Marikina</t>
  </si>
  <si>
    <t>Bacolod City</t>
  </si>
  <si>
    <t>Western Visayas</t>
  </si>
  <si>
    <t>Cainta</t>
  </si>
  <si>
    <t>Taytay</t>
  </si>
  <si>
    <t>Postal Code</t>
  </si>
  <si>
    <t>East</t>
  </si>
  <si>
    <t>Market</t>
  </si>
  <si>
    <t>Shipping Cost</t>
  </si>
  <si>
    <t>Order Priority</t>
  </si>
  <si>
    <t>High</t>
  </si>
  <si>
    <t>Critical</t>
  </si>
  <si>
    <t>Medium</t>
  </si>
  <si>
    <t>Low</t>
  </si>
  <si>
    <t>Storage</t>
  </si>
  <si>
    <t>Furnishings</t>
  </si>
  <si>
    <t>Art</t>
  </si>
  <si>
    <t>Machines</t>
  </si>
  <si>
    <t>Chairs</t>
  </si>
  <si>
    <t>Supplies</t>
  </si>
  <si>
    <t>Fasteners</t>
  </si>
  <si>
    <t>Binders</t>
  </si>
  <si>
    <t>Copiers</t>
  </si>
  <si>
    <t>Phones</t>
  </si>
  <si>
    <t>Accessories</t>
  </si>
  <si>
    <t>Southeast Asia</t>
  </si>
  <si>
    <t>Central Asia</t>
  </si>
  <si>
    <t>North Asia</t>
  </si>
  <si>
    <t>Oceania</t>
  </si>
  <si>
    <t>Africa</t>
  </si>
  <si>
    <t>AMEA</t>
  </si>
  <si>
    <t>Canada</t>
  </si>
  <si>
    <t>United States</t>
  </si>
  <si>
    <t>SO-20335</t>
  </si>
  <si>
    <t>AA-10480</t>
  </si>
  <si>
    <t>CA-2011-143336</t>
  </si>
  <si>
    <t>ZD-21925</t>
  </si>
  <si>
    <t>MA-17560</t>
  </si>
  <si>
    <t>GH-14485</t>
  </si>
  <si>
    <t>PO-18865</t>
  </si>
  <si>
    <t>JM-15265</t>
  </si>
  <si>
    <t>CA-2013-111682</t>
  </si>
  <si>
    <t>KM-16720</t>
  </si>
  <si>
    <t>BS-11590</t>
  </si>
  <si>
    <t>HM-14980</t>
  </si>
  <si>
    <t>JE-15745</t>
  </si>
  <si>
    <t>SC-20770</t>
  </si>
  <si>
    <t>CS-12400</t>
  </si>
  <si>
    <t>CA-2013-109806</t>
  </si>
  <si>
    <t>JS-15685</t>
  </si>
  <si>
    <t>RB-19705</t>
  </si>
  <si>
    <t>ER-13855</t>
  </si>
  <si>
    <t>GZ-14470</t>
  </si>
  <si>
    <t>PA-19060</t>
  </si>
  <si>
    <t>CV-12805</t>
  </si>
  <si>
    <t>DK-13090</t>
  </si>
  <si>
    <t>CA-2013-145583</t>
  </si>
  <si>
    <t>MG-17680</t>
  </si>
  <si>
    <t>JE-16165</t>
  </si>
  <si>
    <t>TT-21070</t>
  </si>
  <si>
    <t>EM-13960</t>
  </si>
  <si>
    <t>DK-13150</t>
  </si>
  <si>
    <t>RM-19675</t>
  </si>
  <si>
    <t>MP-17470</t>
  </si>
  <si>
    <t>CB-12025</t>
  </si>
  <si>
    <t>VM-21685</t>
  </si>
  <si>
    <t>FH-14365</t>
  </si>
  <si>
    <t>CA-2011-133690</t>
  </si>
  <si>
    <t>LE-16810</t>
  </si>
  <si>
    <t>JH-15985</t>
  </si>
  <si>
    <t>CA-2012-146262</t>
  </si>
  <si>
    <t>CA-2012-169397</t>
  </si>
  <si>
    <t>VD-21670</t>
  </si>
  <si>
    <t>DW-13480</t>
  </si>
  <si>
    <t>DR-12880</t>
  </si>
  <si>
    <t>CC-12670</t>
  </si>
  <si>
    <t>RC-19825</t>
  </si>
  <si>
    <t>BB-10990</t>
  </si>
  <si>
    <t>AG-10495</t>
  </si>
  <si>
    <t>AH-10195</t>
  </si>
  <si>
    <t>CR-12625</t>
  </si>
  <si>
    <t>SH-20395</t>
  </si>
  <si>
    <t>CA-2013-162138</t>
  </si>
  <si>
    <t>AC-10420</t>
  </si>
  <si>
    <t>AB-10060</t>
  </si>
  <si>
    <t>JL-15505</t>
  </si>
  <si>
    <t>VB-21745</t>
  </si>
  <si>
    <t>MK-17905</t>
  </si>
  <si>
    <t>AG-10900</t>
  </si>
  <si>
    <t>MM-18280</t>
  </si>
  <si>
    <t>AR-10405</t>
  </si>
  <si>
    <t>RA-19915</t>
  </si>
  <si>
    <t>CA-2013-134775</t>
  </si>
  <si>
    <t>LA-16780</t>
  </si>
  <si>
    <t>DO-13435</t>
  </si>
  <si>
    <t>NG-18430</t>
  </si>
  <si>
    <t>BP-11095</t>
  </si>
  <si>
    <t>SS-20140</t>
  </si>
  <si>
    <t>AG-10675</t>
  </si>
  <si>
    <t>LF-17185</t>
  </si>
  <si>
    <t>KH-16510</t>
  </si>
  <si>
    <t>CA-2013-148796</t>
  </si>
  <si>
    <t>MP-17965</t>
  </si>
  <si>
    <t>NF-18385</t>
  </si>
  <si>
    <t>SD-20485</t>
  </si>
  <si>
    <t>US-2011-150574</t>
  </si>
  <si>
    <t>CA-2013-147375</t>
  </si>
  <si>
    <t>PO-19180</t>
  </si>
  <si>
    <t>CA-2014-154214</t>
  </si>
  <si>
    <t>CA-2013-109869</t>
  </si>
  <si>
    <t>JP-15520</t>
  </si>
  <si>
    <t>JG-15805</t>
  </si>
  <si>
    <t>CA-2014-140963</t>
  </si>
  <si>
    <t>MT-18070</t>
  </si>
  <si>
    <t>SA-20830</t>
  </si>
  <si>
    <t>CW-11905</t>
  </si>
  <si>
    <t>SS-20590</t>
  </si>
  <si>
    <t>US-2013-105578</t>
  </si>
  <si>
    <t>CM-12385</t>
  </si>
  <si>
    <t>LS-17245</t>
  </si>
  <si>
    <t>CA-2012-157812</t>
  </si>
  <si>
    <t>DB-13210</t>
  </si>
  <si>
    <t>BD-11605</t>
  </si>
  <si>
    <t>PH-18790</t>
  </si>
  <si>
    <t>JC-15340</t>
  </si>
  <si>
    <t>EP-13915</t>
  </si>
  <si>
    <t>DK-12985</t>
  </si>
  <si>
    <t>CA-2013-136924</t>
  </si>
  <si>
    <t>LM-17065</t>
  </si>
  <si>
    <t>BD-11320</t>
  </si>
  <si>
    <t>AJ-10945</t>
  </si>
  <si>
    <t>CA-2014-137099</t>
  </si>
  <si>
    <t>JF-15415</t>
  </si>
  <si>
    <t>TG-21640</t>
  </si>
  <si>
    <t>CS-11950</t>
  </si>
  <si>
    <t>BD-11725</t>
  </si>
  <si>
    <t>US-2013-156986</t>
  </si>
  <si>
    <t>CK-12205</t>
  </si>
  <si>
    <t>AS-10240</t>
  </si>
  <si>
    <t>NG-18355</t>
  </si>
  <si>
    <t>CA-12265</t>
  </si>
  <si>
    <t>MO-17800</t>
  </si>
  <si>
    <t>US-2013-135720</t>
  </si>
  <si>
    <t>FM-14380</t>
  </si>
  <si>
    <t>DJ-13420</t>
  </si>
  <si>
    <t>CA-2013-115917</t>
  </si>
  <si>
    <t>CC-12430</t>
  </si>
  <si>
    <t>EH-14125</t>
  </si>
  <si>
    <t>RP-19390</t>
  </si>
  <si>
    <t>MC-17845</t>
  </si>
  <si>
    <t>RS-19765</t>
  </si>
  <si>
    <t>CA-2011-153150</t>
  </si>
  <si>
    <t>SC-20695</t>
  </si>
  <si>
    <t>DS-13030</t>
  </si>
  <si>
    <t>RF-19735</t>
  </si>
  <si>
    <t>CS-12250</t>
  </si>
  <si>
    <t>DL-12865</t>
  </si>
  <si>
    <t>CA-2012-144267</t>
  </si>
  <si>
    <t>LT-17110</t>
  </si>
  <si>
    <t>JK-15730</t>
  </si>
  <si>
    <t>CA-2012-101910</t>
  </si>
  <si>
    <t>CD-11920</t>
  </si>
  <si>
    <t>TR-21325</t>
  </si>
  <si>
    <t>AF-10885</t>
  </si>
  <si>
    <t>SJ-20125</t>
  </si>
  <si>
    <t>CM-12445</t>
  </si>
  <si>
    <t>SM-20005</t>
  </si>
  <si>
    <t>CA-2013-116736</t>
  </si>
  <si>
    <t>PM-19135</t>
  </si>
  <si>
    <t>CA-2012-143602</t>
  </si>
  <si>
    <t>JS-15595</t>
  </si>
  <si>
    <t>PC-18745</t>
  </si>
  <si>
    <t>HL-15040</t>
  </si>
  <si>
    <t>MS-17365</t>
  </si>
  <si>
    <t>CA-2013-130477</t>
  </si>
  <si>
    <t>BE-11335</t>
  </si>
  <si>
    <t>SC-20050</t>
  </si>
  <si>
    <t>CA-2014-102519</t>
  </si>
  <si>
    <t>CG-12040</t>
  </si>
  <si>
    <t>RP-19270</t>
  </si>
  <si>
    <t>CA-2014-136539</t>
  </si>
  <si>
    <t>SW-20275</t>
  </si>
  <si>
    <t>US-2014-103247</t>
  </si>
  <si>
    <t>SL-20155</t>
  </si>
  <si>
    <t>CA-2013-105585</t>
  </si>
  <si>
    <t>MW-18235</t>
  </si>
  <si>
    <t>RD-19585</t>
  </si>
  <si>
    <t>US-2012-126214</t>
  </si>
  <si>
    <t>HR-14770</t>
  </si>
  <si>
    <t>CA-2013-126529</t>
  </si>
  <si>
    <t>RD-19660</t>
  </si>
  <si>
    <t>NS-18640</t>
  </si>
  <si>
    <t>TS-21160</t>
  </si>
  <si>
    <t>BD-11620</t>
  </si>
  <si>
    <t>CM-12160</t>
  </si>
  <si>
    <t>CA-2013-152814</t>
  </si>
  <si>
    <t>EH-14005</t>
  </si>
  <si>
    <t>MS-17710</t>
  </si>
  <si>
    <t>BT-11395</t>
  </si>
  <si>
    <t>CA-2012-143490</t>
  </si>
  <si>
    <t>BT-11485</t>
  </si>
  <si>
    <t>CA-2011-159338</t>
  </si>
  <si>
    <t>PV-18985</t>
  </si>
  <si>
    <t>CA-2013-112340</t>
  </si>
  <si>
    <t>NM-18520</t>
  </si>
  <si>
    <t>CA-2014-140585</t>
  </si>
  <si>
    <t>CS-12355</t>
  </si>
  <si>
    <t>AA-10315</t>
  </si>
  <si>
    <t>CA-2011-126522</t>
  </si>
  <si>
    <t>LT-16765</t>
  </si>
  <si>
    <t>CA-2011-127131</t>
  </si>
  <si>
    <t>CA-2014-117212</t>
  </si>
  <si>
    <t>CA-2013-114727</t>
  </si>
  <si>
    <t>SW-20755</t>
  </si>
  <si>
    <t>US-2014-118087</t>
  </si>
  <si>
    <t>SP-20620</t>
  </si>
  <si>
    <t>BF-11170</t>
  </si>
  <si>
    <t>KT-16480</t>
  </si>
  <si>
    <t>CA-2011-127012</t>
  </si>
  <si>
    <t>GM-14680</t>
  </si>
  <si>
    <t>MH-18115</t>
  </si>
  <si>
    <t>CC-12220</t>
  </si>
  <si>
    <t>PF-19225</t>
  </si>
  <si>
    <t>DC-12850</t>
  </si>
  <si>
    <t>JH-16180</t>
  </si>
  <si>
    <t>CA-2014-115427</t>
  </si>
  <si>
    <t>EB-13975</t>
  </si>
  <si>
    <t>CA-2013-145919</t>
  </si>
  <si>
    <t>CA-2011-160773</t>
  </si>
  <si>
    <t>LP-17095</t>
  </si>
  <si>
    <t>MN-17935</t>
  </si>
  <si>
    <t>LB-16735</t>
  </si>
  <si>
    <t>HM-14860</t>
  </si>
  <si>
    <t>SZ-20035</t>
  </si>
  <si>
    <t>CA-2011-126361</t>
  </si>
  <si>
    <t>CA-2013-159212</t>
  </si>
  <si>
    <t>HA-14905</t>
  </si>
  <si>
    <t>CA-2014-115994</t>
  </si>
  <si>
    <t>BT-11305</t>
  </si>
  <si>
    <t>DK-12835</t>
  </si>
  <si>
    <t>CA-2012-139731</t>
  </si>
  <si>
    <t>MM-17920</t>
  </si>
  <si>
    <t>NH-18610</t>
  </si>
  <si>
    <t>CA-2012-119907</t>
  </si>
  <si>
    <t>KN-16390</t>
  </si>
  <si>
    <t>NP-18685</t>
  </si>
  <si>
    <t>US-2013-108455</t>
  </si>
  <si>
    <t>JW-15220</t>
  </si>
  <si>
    <t>JD-15790</t>
  </si>
  <si>
    <t>PC-19000</t>
  </si>
  <si>
    <t>AR-10540</t>
  </si>
  <si>
    <t>CA-2014-108294</t>
  </si>
  <si>
    <t>TB-21400</t>
  </si>
  <si>
    <t>PL-18925</t>
  </si>
  <si>
    <t>GH-14425</t>
  </si>
  <si>
    <t>MP-18175</t>
  </si>
  <si>
    <t>DB-13270</t>
  </si>
  <si>
    <t>CA-2013-159345</t>
  </si>
  <si>
    <t>IG-15085</t>
  </si>
  <si>
    <t>BO-11425</t>
  </si>
  <si>
    <t>CM-12190</t>
  </si>
  <si>
    <t>MC-18100</t>
  </si>
  <si>
    <t>MY-18295</t>
  </si>
  <si>
    <t>CA-2011-156349</t>
  </si>
  <si>
    <t>JG-15160</t>
  </si>
  <si>
    <t>BS-11380</t>
  </si>
  <si>
    <t>CA-2011-135699</t>
  </si>
  <si>
    <t>TH-21100</t>
  </si>
  <si>
    <t>MM-18055</t>
  </si>
  <si>
    <t>NS-18505</t>
  </si>
  <si>
    <t>RB-19645</t>
  </si>
  <si>
    <t>PS-18760</t>
  </si>
  <si>
    <t>HF-14995</t>
  </si>
  <si>
    <t>HZ-14950</t>
  </si>
  <si>
    <t>CA-2011-135657</t>
  </si>
  <si>
    <t>CA-2014-123491</t>
  </si>
  <si>
    <t>US-2013-131149</t>
  </si>
  <si>
    <t>JW-15955</t>
  </si>
  <si>
    <t>CA-2012-130785</t>
  </si>
  <si>
    <t>RP-19855</t>
  </si>
  <si>
    <t>BE-11455</t>
  </si>
  <si>
    <t>JF-15565</t>
  </si>
  <si>
    <t>CH-12070</t>
  </si>
  <si>
    <t>ND-18460</t>
  </si>
  <si>
    <t>CA-2011-103373</t>
  </si>
  <si>
    <t>GW-14605</t>
  </si>
  <si>
    <t>CA-2014-142888</t>
  </si>
  <si>
    <t>JC-15775</t>
  </si>
  <si>
    <t>DB-13660</t>
  </si>
  <si>
    <t>EH-13990</t>
  </si>
  <si>
    <t>CA-2014-144064</t>
  </si>
  <si>
    <t>CA-2011-148950</t>
  </si>
  <si>
    <t>JD-16015</t>
  </si>
  <si>
    <t>CA-2011-164721</t>
  </si>
  <si>
    <t>JS-16030</t>
  </si>
  <si>
    <t>LW-17215</t>
  </si>
  <si>
    <t>CA-2012-155761</t>
  </si>
  <si>
    <t>AM-10705</t>
  </si>
  <si>
    <t>CA-2012-119214</t>
  </si>
  <si>
    <t>KA-16525</t>
  </si>
  <si>
    <t>CA-2014-122504</t>
  </si>
  <si>
    <t>BF-11080</t>
  </si>
  <si>
    <t>CA-2014-166142</t>
  </si>
  <si>
    <t>CA-2014-124401</t>
  </si>
  <si>
    <t>CA-2012-164882</t>
  </si>
  <si>
    <t>SW-20245</t>
  </si>
  <si>
    <t>BS-11665</t>
  </si>
  <si>
    <t>RF-19345</t>
  </si>
  <si>
    <t>US-2013-152051</t>
  </si>
  <si>
    <t>AF-10870</t>
  </si>
  <si>
    <t>RB-19435</t>
  </si>
  <si>
    <t>CA-2013-136483</t>
  </si>
  <si>
    <t>DB-13555</t>
  </si>
  <si>
    <t>MH-17620</t>
  </si>
  <si>
    <t>BT-11440</t>
  </si>
  <si>
    <t>CA-2014-103380</t>
  </si>
  <si>
    <t>BF-11005</t>
  </si>
  <si>
    <t>CA-2012-116092</t>
  </si>
  <si>
    <t>MW-18220</t>
  </si>
  <si>
    <t>CA-2012-149342</t>
  </si>
  <si>
    <t>SV-20935</t>
  </si>
  <si>
    <t>EM-13825</t>
  </si>
  <si>
    <t>CA-2014-165491</t>
  </si>
  <si>
    <t>BM-11575</t>
  </si>
  <si>
    <t>SC-20260</t>
  </si>
  <si>
    <t>CA-2014-140053</t>
  </si>
  <si>
    <t>SC-20380</t>
  </si>
  <si>
    <t>GM-14695</t>
  </si>
  <si>
    <t>JM-15865</t>
  </si>
  <si>
    <t>CA-2014-131618</t>
  </si>
  <si>
    <t>LS-17200</t>
  </si>
  <si>
    <t>CA-2012-143238</t>
  </si>
  <si>
    <t>LO-17170</t>
  </si>
  <si>
    <t>KD-16615</t>
  </si>
  <si>
    <t>NB-18580</t>
  </si>
  <si>
    <t>US-2012-128090</t>
  </si>
  <si>
    <t>CA-2014-145128</t>
  </si>
  <si>
    <t>EN-13780</t>
  </si>
  <si>
    <t>CA-2011-164861</t>
  </si>
  <si>
    <t>TA-21385</t>
  </si>
  <si>
    <t>TT-21265</t>
  </si>
  <si>
    <t>CL-12700</t>
  </si>
  <si>
    <t>CA-2011-126403</t>
  </si>
  <si>
    <t>RR-19525</t>
  </si>
  <si>
    <t>TC-21295</t>
  </si>
  <si>
    <t>CA-2014-137085</t>
  </si>
  <si>
    <t>CA-2012-153220</t>
  </si>
  <si>
    <t>BE-11410</t>
  </si>
  <si>
    <t>SC-20680</t>
  </si>
  <si>
    <t>RH-19555</t>
  </si>
  <si>
    <t>GA-14515</t>
  </si>
  <si>
    <t>JP-16135</t>
  </si>
  <si>
    <t>DR-12940</t>
  </si>
  <si>
    <t>DM-13015</t>
  </si>
  <si>
    <t>CA-11965</t>
  </si>
  <si>
    <t>CA-2014-112865</t>
  </si>
  <si>
    <t>CA-2014-138163</t>
  </si>
  <si>
    <t>VF-21715</t>
  </si>
  <si>
    <t>US-2014-103828</t>
  </si>
  <si>
    <t>CA-2012-168564</t>
  </si>
  <si>
    <t>CA-2014-169859</t>
  </si>
  <si>
    <t>EM-14140</t>
  </si>
  <si>
    <t>CA-2014-137428</t>
  </si>
  <si>
    <t>CA-2013-139269</t>
  </si>
  <si>
    <t>JB-16045</t>
  </si>
  <si>
    <t>CA-2012-123568</t>
  </si>
  <si>
    <t>JB-16000</t>
  </si>
  <si>
    <t>CA-2012-168480</t>
  </si>
  <si>
    <t>US-2013-114293</t>
  </si>
  <si>
    <t>SW-20350</t>
  </si>
  <si>
    <t>CA-2014-131492</t>
  </si>
  <si>
    <t>BF-11215</t>
  </si>
  <si>
    <t>KB-16405</t>
  </si>
  <si>
    <t>CA-2013-112123</t>
  </si>
  <si>
    <t>CA-2014-135692</t>
  </si>
  <si>
    <t>CA-2014-131828</t>
  </si>
  <si>
    <t>PT-19090</t>
  </si>
  <si>
    <t>CA-2011-123498</t>
  </si>
  <si>
    <t>AH-10030</t>
  </si>
  <si>
    <t>US-2012-137008</t>
  </si>
  <si>
    <t>CC-12475</t>
  </si>
  <si>
    <t>CA-2011-143840</t>
  </si>
  <si>
    <t>CA-2012-157770</t>
  </si>
  <si>
    <t>US-2012-110569</t>
  </si>
  <si>
    <t>CA-2014-136308</t>
  </si>
  <si>
    <t>US-2014-109253</t>
  </si>
  <si>
    <t>PR-18880</t>
  </si>
  <si>
    <t>CA-2013-145982</t>
  </si>
  <si>
    <t>CA-2014-142867</t>
  </si>
  <si>
    <t>DH-13075</t>
  </si>
  <si>
    <t>CA-2013-134803</t>
  </si>
  <si>
    <t>CA-2011-124688</t>
  </si>
  <si>
    <t>CA-2013-130680</t>
  </si>
  <si>
    <t>CA-2014-118542</t>
  </si>
  <si>
    <t>CA-2014-158729</t>
  </si>
  <si>
    <t>RB-19330</t>
  </si>
  <si>
    <t>CA-2014-141929</t>
  </si>
  <si>
    <t>CA-2012-156440</t>
  </si>
  <si>
    <t>CA-2014-113670</t>
  </si>
  <si>
    <t>CA-2014-168193</t>
  </si>
  <si>
    <t>RM-19750</t>
  </si>
  <si>
    <t>CA-2014-161956</t>
  </si>
  <si>
    <t>EJ-13720</t>
  </si>
  <si>
    <t>CA-2012-113628</t>
  </si>
  <si>
    <t>CA-2012-140984</t>
  </si>
  <si>
    <t>DH-13675</t>
  </si>
  <si>
    <t>CA-2011-140816</t>
  </si>
  <si>
    <t>PF-19120</t>
  </si>
  <si>
    <t>CA-2013-167759</t>
  </si>
  <si>
    <t>CA-2011-103940</t>
  </si>
  <si>
    <t>CA-2012-132374</t>
  </si>
  <si>
    <t>CA-2011-110786</t>
  </si>
  <si>
    <t>CA-2012-124058</t>
  </si>
  <si>
    <t>US-2014-155999</t>
  </si>
  <si>
    <t>DD-13570</t>
  </si>
  <si>
    <t>CA-2014-112725</t>
  </si>
  <si>
    <t>AH-10465</t>
  </si>
  <si>
    <t>CA-2011-157924</t>
  </si>
  <si>
    <t>EK-13795</t>
  </si>
  <si>
    <t>CA-2012-150875</t>
  </si>
  <si>
    <t>CA-2012-154970</t>
  </si>
  <si>
    <t>NF-18475</t>
  </si>
  <si>
    <t>SH-20635</t>
  </si>
  <si>
    <t>CA-2011-123253</t>
  </si>
  <si>
    <t>CA-2011-152345</t>
  </si>
  <si>
    <t>CA-2014-169894</t>
  </si>
  <si>
    <t>AG-10330</t>
  </si>
  <si>
    <t>CA-2014-111556</t>
  </si>
  <si>
    <t>US-2011-138758</t>
  </si>
  <si>
    <t>CA-2014-112753</t>
  </si>
  <si>
    <t>CA-2014-167003</t>
  </si>
  <si>
    <t>CA-2013-120873</t>
  </si>
  <si>
    <t>US-2014-105046</t>
  </si>
  <si>
    <t>CA-2012-104129</t>
  </si>
  <si>
    <t>TS-21430</t>
  </si>
  <si>
    <t>CA-2012-130456</t>
  </si>
  <si>
    <t>CA-2013-116547</t>
  </si>
  <si>
    <t>CA-2012-109736</t>
  </si>
  <si>
    <t>CA-2012-142601</t>
  </si>
  <si>
    <t>NR-18550</t>
  </si>
  <si>
    <t>CA-2013-123526</t>
  </si>
  <si>
    <t>CS-11860</t>
  </si>
  <si>
    <t>CA-2014-132346</t>
  </si>
  <si>
    <t>MF-18250</t>
  </si>
  <si>
    <t>LW-17125</t>
  </si>
  <si>
    <t>CA-2014-127306</t>
  </si>
  <si>
    <t>KS-16300</t>
  </si>
  <si>
    <t>CA-2013-151372</t>
  </si>
  <si>
    <t>CA-2014-117926</t>
  </si>
  <si>
    <t>LR-17035</t>
  </si>
  <si>
    <t>CA-2012-162166</t>
  </si>
  <si>
    <t>JM-15580</t>
  </si>
  <si>
    <t>US-2011-140452</t>
  </si>
  <si>
    <t>CA-2011-160766</t>
  </si>
  <si>
    <t>CA-2013-151323</t>
  </si>
  <si>
    <t>CA-2012-161627</t>
  </si>
  <si>
    <t>US-2014-136679</t>
  </si>
  <si>
    <t>CA-2011-166744</t>
  </si>
  <si>
    <t>CA-2014-147452</t>
  </si>
  <si>
    <t>CA-2012-105158</t>
  </si>
  <si>
    <t>CA-2012-146486</t>
  </si>
  <si>
    <t>CA-2011-104829</t>
  </si>
  <si>
    <t>CA-2013-145492</t>
  </si>
  <si>
    <t>US-2013-151827</t>
  </si>
  <si>
    <t>CA-2014-129707</t>
  </si>
  <si>
    <t>US-2013-127425</t>
  </si>
  <si>
    <t>CA-2014-130631</t>
  </si>
  <si>
    <t>CA-2014-101574</t>
  </si>
  <si>
    <t>TH-21115</t>
  </si>
  <si>
    <t>CA-2011-151162</t>
  </si>
  <si>
    <t>CA-2014-142342</t>
  </si>
  <si>
    <t>CA-2013-145261</t>
  </si>
  <si>
    <t>US-2012-160857</t>
  </si>
  <si>
    <t>CA-2012-138674</t>
  </si>
  <si>
    <t>CA-2011-148614</t>
  </si>
  <si>
    <t>US-2014-147886</t>
  </si>
  <si>
    <t>US-2013-111528</t>
  </si>
  <si>
    <t>CA-2013-142398</t>
  </si>
  <si>
    <t>CA-2011-105270</t>
  </si>
  <si>
    <t>CA-2014-140186</t>
  </si>
  <si>
    <t>CA-2011-123225</t>
  </si>
  <si>
    <t>CA-2013-133319</t>
  </si>
  <si>
    <t>CA-2014-159954</t>
  </si>
  <si>
    <t>CA-2011-141726</t>
  </si>
  <si>
    <t>CA-2012-135580</t>
  </si>
  <si>
    <t>CA-2011-102652</t>
  </si>
  <si>
    <t>CA-2012-134201</t>
  </si>
  <si>
    <t>CA-2012-151547</t>
  </si>
  <si>
    <t>CA-2012-114048</t>
  </si>
  <si>
    <t>CA-2014-100111</t>
  </si>
  <si>
    <t>CA-2013-133802</t>
  </si>
  <si>
    <t>CA-2014-152660</t>
  </si>
  <si>
    <t>CA-2014-145772</t>
  </si>
  <si>
    <t>EM-14200</t>
  </si>
  <si>
    <t>AO-10810</t>
  </si>
  <si>
    <t>CA-2011-111871</t>
  </si>
  <si>
    <t>CA-2012-134075</t>
  </si>
  <si>
    <t>US-2013-115952</t>
  </si>
  <si>
    <t>CA-2011-100762</t>
  </si>
  <si>
    <t>CA-2014-161459</t>
  </si>
  <si>
    <t>CA-2012-146255</t>
  </si>
  <si>
    <t>CA-2014-161557</t>
  </si>
  <si>
    <t>US-2014-147998</t>
  </si>
  <si>
    <t>CA-2014-154074</t>
  </si>
  <si>
    <t>CA-2012-149650</t>
  </si>
  <si>
    <t>SS-20515</t>
  </si>
  <si>
    <t>CA-2011-103744</t>
  </si>
  <si>
    <t>US-2014-107888</t>
  </si>
  <si>
    <t>CA-2014-123085</t>
  </si>
  <si>
    <t>CA-2012-103716</t>
  </si>
  <si>
    <t>CA-2013-168921</t>
  </si>
  <si>
    <t>CA-2012-107678</t>
  </si>
  <si>
    <t>CA-2013-105081</t>
  </si>
  <si>
    <t>CA-2013-166275</t>
  </si>
  <si>
    <t>CA-2011-108609</t>
  </si>
  <si>
    <t>TC-21145</t>
  </si>
  <si>
    <t>CA-2013-124527</t>
  </si>
  <si>
    <t>CA-2014-128965</t>
  </si>
  <si>
    <t>AR-10570</t>
  </si>
  <si>
    <t>CA-2014-153822</t>
  </si>
  <si>
    <t>CA-2012-112144</t>
  </si>
  <si>
    <t>CA-2013-165330</t>
  </si>
  <si>
    <t>CA-2013-106950</t>
  </si>
  <si>
    <t>CA-2014-118122</t>
  </si>
  <si>
    <t>US-2012-136749</t>
  </si>
  <si>
    <t>CA-2014-150609</t>
  </si>
  <si>
    <t>CA-2011-116785</t>
  </si>
  <si>
    <t>CA-2014-137414</t>
  </si>
  <si>
    <t>US-2013-119046</t>
  </si>
  <si>
    <t>CA-2014-154949</t>
  </si>
  <si>
    <t>CA-2012-150770</t>
  </si>
  <si>
    <t>CA-2014-136651</t>
  </si>
  <si>
    <t>US-2014-151127</t>
  </si>
  <si>
    <t>CA-2013-133368</t>
  </si>
  <si>
    <t>US-2011-164763</t>
  </si>
  <si>
    <t>US-2012-136987</t>
  </si>
  <si>
    <t>CA-2013-138282</t>
  </si>
  <si>
    <t>CA-2014-157196</t>
  </si>
  <si>
    <t>CA-2011-134726</t>
  </si>
  <si>
    <t>US-2013-157490</t>
  </si>
  <si>
    <t>CA-2013-118899</t>
  </si>
  <si>
    <t>CA-2012-149636</t>
  </si>
  <si>
    <t>CA-2014-156391</t>
  </si>
  <si>
    <t>US-2014-123834</t>
  </si>
  <si>
    <t>CA-2014-166093</t>
  </si>
  <si>
    <t>CA-2014-134194</t>
  </si>
  <si>
    <t>CA-2014-131807</t>
  </si>
  <si>
    <t>CA-2014-165008</t>
  </si>
  <si>
    <t>LC-16960</t>
  </si>
  <si>
    <t>CA-2014-140151</t>
  </si>
  <si>
    <t>CA-2013-128671</t>
  </si>
  <si>
    <t>CA-2011-109918</t>
  </si>
  <si>
    <t>CA-2012-110814</t>
  </si>
  <si>
    <t>CA-2011-108861</t>
  </si>
  <si>
    <t>CA-2014-101273</t>
  </si>
  <si>
    <t>CA-2014-162012</t>
  </si>
  <si>
    <t>CA-2014-101700</t>
  </si>
  <si>
    <t>CA-2014-117513</t>
  </si>
  <si>
    <t>US-2013-114230</t>
  </si>
  <si>
    <t>CA-2013-113341</t>
  </si>
  <si>
    <t>CA-2011-142769</t>
  </si>
  <si>
    <t>CA-2013-118500</t>
  </si>
  <si>
    <t>CA-2013-118311</t>
  </si>
  <si>
    <t>CA-2014-119284</t>
  </si>
  <si>
    <t>CA-2013-114307</t>
  </si>
  <si>
    <t>US-2013-140172</t>
  </si>
  <si>
    <t>CA-2014-101805</t>
  </si>
  <si>
    <t>US-2011-105137</t>
  </si>
  <si>
    <t>CA-2013-162159</t>
  </si>
  <si>
    <t>US-2013-144057</t>
  </si>
  <si>
    <t>CA-2013-159023</t>
  </si>
  <si>
    <t>CA-2014-150910</t>
  </si>
  <si>
    <t>CA-2013-157280</t>
  </si>
  <si>
    <t>CA-2014-107825</t>
  </si>
  <si>
    <t>CA-2014-143084</t>
  </si>
  <si>
    <t>CA-2012-148873</t>
  </si>
  <si>
    <t>CA-2013-150077</t>
  </si>
  <si>
    <t>CA-2014-166898</t>
  </si>
  <si>
    <t>CA-2012-132941</t>
  </si>
  <si>
    <t>CA-2014-122007</t>
  </si>
  <si>
    <t>CA-2013-104689</t>
  </si>
  <si>
    <t>CA-2013-126732</t>
  </si>
  <si>
    <t>CA-2014-155712</t>
  </si>
  <si>
    <t>CA-2012-111948</t>
  </si>
  <si>
    <t>CA-2014-121853</t>
  </si>
  <si>
    <t>CA-2014-109085</t>
  </si>
  <si>
    <t>SC-20845</t>
  </si>
  <si>
    <t>RE-19405</t>
  </si>
  <si>
    <t>US-2013-148957</t>
  </si>
  <si>
    <t>CA-2011-100867</t>
  </si>
  <si>
    <t>CA-2014-156958</t>
  </si>
  <si>
    <t>SM-20905</t>
  </si>
  <si>
    <t>CA-2014-108931</t>
  </si>
  <si>
    <t>US-2014-122672</t>
  </si>
  <si>
    <t>CA-2013-130638</t>
  </si>
  <si>
    <t>CA-2013-105291</t>
  </si>
  <si>
    <t>CA-2013-161746</t>
  </si>
  <si>
    <t>CA-2014-167395</t>
  </si>
  <si>
    <t>CA-2014-142328</t>
  </si>
  <si>
    <t>CA-2011-169019</t>
  </si>
  <si>
    <t>US-2011-164406</t>
  </si>
  <si>
    <t>CA-2014-169327</t>
  </si>
  <si>
    <t>CA-2012-141593</t>
  </si>
  <si>
    <t>US-2011-143287</t>
  </si>
  <si>
    <t>CA-2014-121258</t>
  </si>
  <si>
    <t>OFF-PA-10002479</t>
  </si>
  <si>
    <t>TEC-AC-10002335</t>
  </si>
  <si>
    <t>OFF-ST-10003306</t>
  </si>
  <si>
    <t>OFF-PA-10000357</t>
  </si>
  <si>
    <t>FUR-CH-10003846</t>
  </si>
  <si>
    <t>TEC-CO-10001766</t>
  </si>
  <si>
    <t>OFF-BI-10004224</t>
  </si>
  <si>
    <t>OFF-ST-10000078</t>
  </si>
  <si>
    <t>FUR-BO-10000112</t>
  </si>
  <si>
    <t>OFF-PA-10000048</t>
  </si>
  <si>
    <t>ES-2014-2557751</t>
  </si>
  <si>
    <t>ES-2013-4569090</t>
  </si>
  <si>
    <t>ES-2014-4856325</t>
  </si>
  <si>
    <t>ES-2014-1193193</t>
  </si>
  <si>
    <t>ES-2012-5757351</t>
  </si>
  <si>
    <t>ES-2013-4897406</t>
  </si>
  <si>
    <t>IT-2013-2720003</t>
  </si>
  <si>
    <t>IT-2013-3395178</t>
  </si>
  <si>
    <t>ES-2013-3927096</t>
  </si>
  <si>
    <t>ES-2012-1484906</t>
  </si>
  <si>
    <t>IT-2014-3941500</t>
  </si>
  <si>
    <t>ES-2012-5923089</t>
  </si>
  <si>
    <t>ES-2012-5897153</t>
  </si>
  <si>
    <t>ES-2013-1341762</t>
  </si>
  <si>
    <t>ES-2012-2376426</t>
  </si>
  <si>
    <t>ES-2014-1637041</t>
  </si>
  <si>
    <t>ES-2012-5365524</t>
  </si>
  <si>
    <t>ES-2012-2102738</t>
  </si>
  <si>
    <t>ES-2014-2731678</t>
  </si>
  <si>
    <t>ES-2013-3508441</t>
  </si>
  <si>
    <t>ES-2013-5623189</t>
  </si>
  <si>
    <t>ES-2012-2280466</t>
  </si>
  <si>
    <t>ES-2014-5710826</t>
  </si>
  <si>
    <t>ES-2012-1382586</t>
  </si>
  <si>
    <t>ES-2012-3246286</t>
  </si>
  <si>
    <t>IT-2014-1725451</t>
  </si>
  <si>
    <t>ES-2012-4844965</t>
  </si>
  <si>
    <t>ES-2014-3730302</t>
  </si>
  <si>
    <t>ES-2013-5746149</t>
  </si>
  <si>
    <t>IT-2012-3746228</t>
  </si>
  <si>
    <t>ES-2014-5830221</t>
  </si>
  <si>
    <t>ES-2013-1785128</t>
  </si>
  <si>
    <t>ES-2014-5297792</t>
  </si>
  <si>
    <t>ES-2012-3697227</t>
  </si>
  <si>
    <t>ES-2014-5835827</t>
  </si>
  <si>
    <t>ES-2014-5389384</t>
  </si>
  <si>
    <t>ES-2011-3864297</t>
  </si>
  <si>
    <t>ES-2011-5464858</t>
  </si>
  <si>
    <t>ES-2013-3093926</t>
  </si>
  <si>
    <t>ES-2014-1651774</t>
  </si>
  <si>
    <t>ES-2014-2280822</t>
  </si>
  <si>
    <t>IT-2012-3613157</t>
  </si>
  <si>
    <t>ES-2012-1211902</t>
  </si>
  <si>
    <t>IT-2011-4812190</t>
  </si>
  <si>
    <t>ES-2012-1845274</t>
  </si>
  <si>
    <t>ES-2014-1325616</t>
  </si>
  <si>
    <t>IT-2013-3876077</t>
  </si>
  <si>
    <t>ES-2012-5944655</t>
  </si>
  <si>
    <t>ES-2014-2697033</t>
  </si>
  <si>
    <t>ES-2011-5803751</t>
  </si>
  <si>
    <t>ES-2013-1727818</t>
  </si>
  <si>
    <t>ES-2013-4429605</t>
  </si>
  <si>
    <t>ES-2013-4972434</t>
  </si>
  <si>
    <t>ES-2013-3007238</t>
  </si>
  <si>
    <t>ES-2014-1015287</t>
  </si>
  <si>
    <t>IT-2013-3253363</t>
  </si>
  <si>
    <t>ES-2014-2299862</t>
  </si>
  <si>
    <t>ES-2014-2979530</t>
  </si>
  <si>
    <t>ES-2013-5106699</t>
  </si>
  <si>
    <t>ES-2014-4790238</t>
  </si>
  <si>
    <t>IT-2011-4648014</t>
  </si>
  <si>
    <t>ES-2014-4401602</t>
  </si>
  <si>
    <t>IT-2012-3986604</t>
  </si>
  <si>
    <t>IT-2011-1521406</t>
  </si>
  <si>
    <t>ES-2012-5238758</t>
  </si>
  <si>
    <t>ES-2012-3471401</t>
  </si>
  <si>
    <t>ES-2014-1398657</t>
  </si>
  <si>
    <t>IT-2013-4864604</t>
  </si>
  <si>
    <t>ES-2013-1795340</t>
  </si>
  <si>
    <t>ES-2014-5891109</t>
  </si>
  <si>
    <t>ES-2011-3249098</t>
  </si>
  <si>
    <t>ES-2014-1734818</t>
  </si>
  <si>
    <t>ES-2014-4385660</t>
  </si>
  <si>
    <t>ES-2012-3362320</t>
  </si>
  <si>
    <t>IT-2014-1082723</t>
  </si>
  <si>
    <t>ES-2014-2905780</t>
  </si>
  <si>
    <t>IT-2014-5465876</t>
  </si>
  <si>
    <t>IT-2014-5470294</t>
  </si>
  <si>
    <t>ES-2014-5666305</t>
  </si>
  <si>
    <t>ES-2013-3285003</t>
  </si>
  <si>
    <t>IT-2014-3831682</t>
  </si>
  <si>
    <t>ES-2013-1874583</t>
  </si>
  <si>
    <t>ES-2014-3638264</t>
  </si>
  <si>
    <t>ES-2013-1925248</t>
  </si>
  <si>
    <t>IT-2013-3060899</t>
  </si>
  <si>
    <t>ES-2014-2411166</t>
  </si>
  <si>
    <t>ES-2011-1443340</t>
  </si>
  <si>
    <t>ES-2014-5822421</t>
  </si>
  <si>
    <t>ES-2012-5645358</t>
  </si>
  <si>
    <t>ES-2014-4963892</t>
  </si>
  <si>
    <t>IT-2013-3132916</t>
  </si>
  <si>
    <t>ES-2014-1182889</t>
  </si>
  <si>
    <t>ES-2014-4505254</t>
  </si>
  <si>
    <t>ES-2012-2088434</t>
  </si>
  <si>
    <t>ES-2014-2783426</t>
  </si>
  <si>
    <t>IT-2012-1180980</t>
  </si>
  <si>
    <t>ES-2013-5911126</t>
  </si>
  <si>
    <t>IT-2014-1147467</t>
  </si>
  <si>
    <t>ES-2011-3305419</t>
  </si>
  <si>
    <t>ES-2012-3330001</t>
  </si>
  <si>
    <t>IT-2014-4499061</t>
  </si>
  <si>
    <t>ES-2011-4694484</t>
  </si>
  <si>
    <t>ES-2013-1268416</t>
  </si>
  <si>
    <t>ES-2013-3547323</t>
  </si>
  <si>
    <t>IT-2013-3159247</t>
  </si>
  <si>
    <t>ES-2013-3988133</t>
  </si>
  <si>
    <t>IT-2013-2280110</t>
  </si>
  <si>
    <t>ES-2013-4009230</t>
  </si>
  <si>
    <t>ES-2012-4840257</t>
  </si>
  <si>
    <t>ES-2013-2310454</t>
  </si>
  <si>
    <t>ES-2013-1706935</t>
  </si>
  <si>
    <t>ES-2014-1526550</t>
  </si>
  <si>
    <t>ES-2012-1295099</t>
  </si>
  <si>
    <t>ES-2013-1525878</t>
  </si>
  <si>
    <t>ES-2013-4790317</t>
  </si>
  <si>
    <t>ES-2012-4007496</t>
  </si>
  <si>
    <t>ES-2012-4379168</t>
  </si>
  <si>
    <t>IT-2011-1646767</t>
  </si>
  <si>
    <t>IT-2014-2068457</t>
  </si>
  <si>
    <t>ES-2014-1012006</t>
  </si>
  <si>
    <t>ES-2014-1224526</t>
  </si>
  <si>
    <t>ES-2011-1868803</t>
  </si>
  <si>
    <t>ES-2013-4190886</t>
  </si>
  <si>
    <t>ES-2012-2270219</t>
  </si>
  <si>
    <t>ES-2013-2745392</t>
  </si>
  <si>
    <t>ES-2012-5207465</t>
  </si>
  <si>
    <t>ES-2013-2003988</t>
  </si>
  <si>
    <t>ES-2013-2091965</t>
  </si>
  <si>
    <t>ES-2013-1713812</t>
  </si>
  <si>
    <t>ES-2013-1093488</t>
  </si>
  <si>
    <t>ES-2011-1137137</t>
  </si>
  <si>
    <t>ES-2013-3061639</t>
  </si>
  <si>
    <t>IT-2014-2277753</t>
  </si>
  <si>
    <t>ES-2014-5368780</t>
  </si>
  <si>
    <t>ES-2011-3366039</t>
  </si>
  <si>
    <t>ES-2013-1610512</t>
  </si>
  <si>
    <t>ES-2013-5246295</t>
  </si>
  <si>
    <t>ES-2011-5389664</t>
  </si>
  <si>
    <t>ES-2014-1620754</t>
  </si>
  <si>
    <t>ES-2012-3075381</t>
  </si>
  <si>
    <t>IT-2011-4913414</t>
  </si>
  <si>
    <t>ES-2013-2406661</t>
  </si>
  <si>
    <t>ES-2014-5385720</t>
  </si>
  <si>
    <t>ES-2013-5002349</t>
  </si>
  <si>
    <t>ES-2012-3715659</t>
  </si>
  <si>
    <t>ES-2014-2385129</t>
  </si>
  <si>
    <t>ES-2014-2042578</t>
  </si>
  <si>
    <t>ES-2014-4535588</t>
  </si>
  <si>
    <t>IT-2012-5711400</t>
  </si>
  <si>
    <t>ES-2011-4816650</t>
  </si>
  <si>
    <t>ES-2014-5444511</t>
  </si>
  <si>
    <t>ES-2013-4375143</t>
  </si>
  <si>
    <t>ES-2011-5263174</t>
  </si>
  <si>
    <t>ES-2013-1217902</t>
  </si>
  <si>
    <t>ES-2013-3570218</t>
  </si>
  <si>
    <t>ES-2013-2639112</t>
  </si>
  <si>
    <t>ES-2012-5745179</t>
  </si>
  <si>
    <t>ES-2012-1721838</t>
  </si>
  <si>
    <t>ES-2011-3654318</t>
  </si>
  <si>
    <t>ES-2012-2680511</t>
  </si>
  <si>
    <t>ES-2014-2901069</t>
  </si>
  <si>
    <t>ES-2011-1276768</t>
  </si>
  <si>
    <t>ES-2011-3108517</t>
  </si>
  <si>
    <t>ES-2013-1072619</t>
  </si>
  <si>
    <t>ES-2013-2491395</t>
  </si>
  <si>
    <t>ES-2012-1363320</t>
  </si>
  <si>
    <t>ES-2011-2417338</t>
  </si>
  <si>
    <t>ES-2014-2504689</t>
  </si>
  <si>
    <t>IT-2014-4920177</t>
  </si>
  <si>
    <t>ES-2014-4147581</t>
  </si>
  <si>
    <t>ES-2013-3877962</t>
  </si>
  <si>
    <t>ES-2014-3277356</t>
  </si>
  <si>
    <t>ES-2014-5762425</t>
  </si>
  <si>
    <t>IT-2011-3468929</t>
  </si>
  <si>
    <t>ES-2014-3380674</t>
  </si>
  <si>
    <t>ES-2011-4359424</t>
  </si>
  <si>
    <t>IT-2013-4962578</t>
  </si>
  <si>
    <t>ES-2013-2603153</t>
  </si>
  <si>
    <t>ES-2014-4616921</t>
  </si>
  <si>
    <t>ES-2013-5616549</t>
  </si>
  <si>
    <t>ES-2012-3327222</t>
  </si>
  <si>
    <t>ES-2011-3074997</t>
  </si>
  <si>
    <t>ES-2013-1906012</t>
  </si>
  <si>
    <t>ES-2013-3159008</t>
  </si>
  <si>
    <t>ES-2013-5685466</t>
  </si>
  <si>
    <t>ES-2014-5247585</t>
  </si>
  <si>
    <t>ES-2011-3106999</t>
  </si>
  <si>
    <t>ES-2013-3323529</t>
  </si>
  <si>
    <t>ES-2014-4598380</t>
  </si>
  <si>
    <t>ES-2014-1627638</t>
  </si>
  <si>
    <t>ES-2014-2769035</t>
  </si>
  <si>
    <t>ES-2012-4829315</t>
  </si>
  <si>
    <t>ES-2013-5648133</t>
  </si>
  <si>
    <t>ES-2012-1439531</t>
  </si>
  <si>
    <t>ES-2012-5466966</t>
  </si>
  <si>
    <t>ES-2013-2638509</t>
  </si>
  <si>
    <t>ES-2014-5900887</t>
  </si>
  <si>
    <t>ES-2014-2851130</t>
  </si>
  <si>
    <t>ES-2012-5959969</t>
  </si>
  <si>
    <t>ES-2014-1006059</t>
  </si>
  <si>
    <t>ES-2012-4286133</t>
  </si>
  <si>
    <t>ES-2011-2835499</t>
  </si>
  <si>
    <t>IT-2011-2911544</t>
  </si>
  <si>
    <t>IT-2013-4869515</t>
  </si>
  <si>
    <t>ES-2014-4359397</t>
  </si>
  <si>
    <t>ES-2013-4184078</t>
  </si>
  <si>
    <t>ES-2012-4193401</t>
  </si>
  <si>
    <t>ES-2013-4650117</t>
  </si>
  <si>
    <t>ES-2014-1178010</t>
  </si>
  <si>
    <t>ES-2014-5438886</t>
  </si>
  <si>
    <t>ES-2011-4351366</t>
  </si>
  <si>
    <t>ES-2012-5566923</t>
  </si>
  <si>
    <t>ES-2012-4079399</t>
  </si>
  <si>
    <t>ES-2014-4079805</t>
  </si>
  <si>
    <t>ES-2014-2638373</t>
  </si>
  <si>
    <t>ES-2014-5621218</t>
  </si>
  <si>
    <t>ES-2013-3446925</t>
  </si>
  <si>
    <t>ES-2012-5845607</t>
  </si>
  <si>
    <t>ES-2014-2524646</t>
  </si>
  <si>
    <t>ES-2014-4967939</t>
  </si>
  <si>
    <t>ES-2013-5259588</t>
  </si>
  <si>
    <t>ES-2013-5239444</t>
  </si>
  <si>
    <t>ES-2013-1835691</t>
  </si>
  <si>
    <t>ES-2014-1197792</t>
  </si>
  <si>
    <t>ES-2014-5513140</t>
  </si>
  <si>
    <t>IT-2014-1858881</t>
  </si>
  <si>
    <t>IT-2013-4354136</t>
  </si>
  <si>
    <t>ES-2014-4387160</t>
  </si>
  <si>
    <t>IT-2013-3468927</t>
  </si>
  <si>
    <t>ES-2012-3679676</t>
  </si>
  <si>
    <t>ES-2011-1228490</t>
  </si>
  <si>
    <t>ES-2014-1006842</t>
  </si>
  <si>
    <t>ES-2014-4472745</t>
  </si>
  <si>
    <t>ES-2013-4441922</t>
  </si>
  <si>
    <t>IT-2012-3091951</t>
  </si>
  <si>
    <t>ES-2013-3078948</t>
  </si>
  <si>
    <t>ES-2012-4662036</t>
  </si>
  <si>
    <t>ES-2012-4485887</t>
  </si>
  <si>
    <t>ES-2012-2212320</t>
  </si>
  <si>
    <t>ES-2014-2228032</t>
  </si>
  <si>
    <t>ES-2014-2933395</t>
  </si>
  <si>
    <t>ES-2013-3425110</t>
  </si>
  <si>
    <t>ES-2013-4487295</t>
  </si>
  <si>
    <t>ES-2013-5246151</t>
  </si>
  <si>
    <t>ES-2012-1986848</t>
  </si>
  <si>
    <t>ES-2014-4626156</t>
  </si>
  <si>
    <t>ES-2011-1141056</t>
  </si>
  <si>
    <t>ES-2012-4250639</t>
  </si>
  <si>
    <t>ES-2014-5706764</t>
  </si>
  <si>
    <t>ES-2011-5118812</t>
  </si>
  <si>
    <t>ES-2012-4804562</t>
  </si>
  <si>
    <t>ES-2013-2339975</t>
  </si>
  <si>
    <t>ES-2014-3609825</t>
  </si>
  <si>
    <t>IT-2013-1665440</t>
  </si>
  <si>
    <t>ES-2014-5296123</t>
  </si>
  <si>
    <t>ES-2014-1703772</t>
  </si>
  <si>
    <t>ES-2012-2431083</t>
  </si>
  <si>
    <t>ES-2014-5166372</t>
  </si>
  <si>
    <t>ES-2011-3028321</t>
  </si>
  <si>
    <t>ES-2013-5734148</t>
  </si>
  <si>
    <t>ES-2013-2048769</t>
  </si>
  <si>
    <t>ES-2012-2223096</t>
  </si>
  <si>
    <t>ES-2012-3631542</t>
  </si>
  <si>
    <t>ES-2014-5060319</t>
  </si>
  <si>
    <t>ES-2013-2645491</t>
  </si>
  <si>
    <t>ES-2011-5201850</t>
  </si>
  <si>
    <t>IT-2014-4273010</t>
  </si>
  <si>
    <t>IT-2014-2508683</t>
  </si>
  <si>
    <t>IT-2011-2861112</t>
  </si>
  <si>
    <t>ES-2014-4442693</t>
  </si>
  <si>
    <t>ES-2013-4116050</t>
  </si>
  <si>
    <t>ES-2011-5273102</t>
  </si>
  <si>
    <t>IT-2014-5517515</t>
  </si>
  <si>
    <t>ES-2014-3424970</t>
  </si>
  <si>
    <t>ES-2014-5275437</t>
  </si>
  <si>
    <t>IT-2011-2536577</t>
  </si>
  <si>
    <t>ES-2013-5881573</t>
  </si>
  <si>
    <t>ES-2013-2335535</t>
  </si>
  <si>
    <t>ES-2012-4717022</t>
  </si>
  <si>
    <t>ES-2011-5032747</t>
  </si>
  <si>
    <t>ES-2014-1873734</t>
  </si>
  <si>
    <t>ES-2014-4295205</t>
  </si>
  <si>
    <t>IT-2013-1498487</t>
  </si>
  <si>
    <t>ES-2014-2439745</t>
  </si>
  <si>
    <t>OFF-ST-10003931</t>
  </si>
  <si>
    <t>OFF-LA-10003132</t>
  </si>
  <si>
    <t>OFF-PA-10003455</t>
  </si>
  <si>
    <t>TEC-AC-10004704</t>
  </si>
  <si>
    <t>TEC-CO-10003342</t>
  </si>
  <si>
    <t>OFF-PA-10003416</t>
  </si>
  <si>
    <t>OFF-ST-10004060</t>
  </si>
  <si>
    <t>OFF-ST-10003414</t>
  </si>
  <si>
    <t>FUR-BO-10000895</t>
  </si>
  <si>
    <t>OFF-AR-10001529</t>
  </si>
  <si>
    <t>OFF-LA-10000425</t>
  </si>
  <si>
    <t>TEC-PH-10003927</t>
  </si>
  <si>
    <t>TEC-MA-10004482</t>
  </si>
  <si>
    <t>TEC-PH-10003713</t>
  </si>
  <si>
    <t>FUR-BO-10001155</t>
  </si>
  <si>
    <t>OFF-FA-10001026</t>
  </si>
  <si>
    <t>TEC-CO-10000660</t>
  </si>
  <si>
    <t>OFF-PA-10004124</t>
  </si>
  <si>
    <t>OFF-SU-10002214</t>
  </si>
  <si>
    <t>OFF-PA-10004990</t>
  </si>
  <si>
    <t>IN-2013-27828</t>
  </si>
  <si>
    <t>IN-2014-63178</t>
  </si>
  <si>
    <t>ID-2011-65117</t>
  </si>
  <si>
    <t>ID-2014-39084</t>
  </si>
  <si>
    <t>ID-2014-62926</t>
  </si>
  <si>
    <t>ID-2014-64914</t>
  </si>
  <si>
    <t>IN-2011-32126</t>
  </si>
  <si>
    <t>IN-2014-32091</t>
  </si>
  <si>
    <t>IN-2014-60476</t>
  </si>
  <si>
    <t>ID-2014-74462</t>
  </si>
  <si>
    <t>ID-2012-61722</t>
  </si>
  <si>
    <t>IN-2012-26169</t>
  </si>
  <si>
    <t>IN-2012-25910</t>
  </si>
  <si>
    <t>ID-2012-21787</t>
  </si>
  <si>
    <t>ID-2012-32350</t>
  </si>
  <si>
    <t>IN-2011-10419</t>
  </si>
  <si>
    <t>ID-2013-22025</t>
  </si>
  <si>
    <t>IN-2014-61932</t>
  </si>
  <si>
    <t>ID-2014-43403</t>
  </si>
  <si>
    <t>IN-2014-67119</t>
  </si>
  <si>
    <t>ID-2014-29914</t>
  </si>
  <si>
    <t>ID-2013-17097</t>
  </si>
  <si>
    <t>IN-2014-58460</t>
  </si>
  <si>
    <t>IN-2011-52587</t>
  </si>
  <si>
    <t>ID-2012-41408</t>
  </si>
  <si>
    <t>ID-2013-37705</t>
  </si>
  <si>
    <t>ID-2014-69303</t>
  </si>
  <si>
    <t>ID-2011-23068</t>
  </si>
  <si>
    <t>IN-2011-24069</t>
  </si>
  <si>
    <t>ID-2014-64025</t>
  </si>
  <si>
    <t>ID-2013-29662</t>
  </si>
  <si>
    <t>ID-2014-35122</t>
  </si>
  <si>
    <t>IN-2014-38356</t>
  </si>
  <si>
    <t>ID-2012-73391</t>
  </si>
  <si>
    <t>ID-2014-52349</t>
  </si>
  <si>
    <t>IN-2014-49549</t>
  </si>
  <si>
    <t>IN-2014-72747</t>
  </si>
  <si>
    <t>ID-2011-24454</t>
  </si>
  <si>
    <t>IN-2013-67364</t>
  </si>
  <si>
    <t>ID-2013-48555</t>
  </si>
  <si>
    <t>ID-2013-75008</t>
  </si>
  <si>
    <t>ID-2013-24412</t>
  </si>
  <si>
    <t>ID-2011-77619</t>
  </si>
  <si>
    <t>ID-2014-54792</t>
  </si>
  <si>
    <t>IN-2013-55135</t>
  </si>
  <si>
    <t>ID-2012-51369</t>
  </si>
  <si>
    <t>IN-2012-69870</t>
  </si>
  <si>
    <t>IN-2011-72502</t>
  </si>
  <si>
    <t>ID-2012-61715</t>
  </si>
  <si>
    <t>IN-2013-51138</t>
  </si>
  <si>
    <t>IN-2012-39889</t>
  </si>
  <si>
    <t>ID-2011-58250</t>
  </si>
  <si>
    <t>ID-2013-10972</t>
  </si>
  <si>
    <t>ID-2014-57501</t>
  </si>
  <si>
    <t>IN-2012-30572</t>
  </si>
  <si>
    <t>IN-2014-50158</t>
  </si>
  <si>
    <t>ID-2014-68505</t>
  </si>
  <si>
    <t>IN-2014-67553</t>
  </si>
  <si>
    <t>IN-2013-10489</t>
  </si>
  <si>
    <t>ID-2011-58670</t>
  </si>
  <si>
    <t>IN-2011-56738</t>
  </si>
  <si>
    <t>ID-2014-27653</t>
  </si>
  <si>
    <t>IN-2012-67490</t>
  </si>
  <si>
    <t>ID-2014-35374</t>
  </si>
  <si>
    <t>IN-2014-15676</t>
  </si>
  <si>
    <t>ID-2011-53154</t>
  </si>
  <si>
    <t>ID-2013-23495</t>
  </si>
  <si>
    <t>ID-2012-57193</t>
  </si>
  <si>
    <t>IN-2014-72103</t>
  </si>
  <si>
    <t>ID-2012-21563</t>
  </si>
  <si>
    <t>IN-2014-15956</t>
  </si>
  <si>
    <t>IN-2012-58754</t>
  </si>
  <si>
    <t>ID-2013-13625</t>
  </si>
  <si>
    <t>ID-2014-11098</t>
  </si>
  <si>
    <t>IN-2013-31083</t>
  </si>
  <si>
    <t>IN-2014-46007</t>
  </si>
  <si>
    <t>IN-2011-48107</t>
  </si>
  <si>
    <t>IN-2013-78081</t>
  </si>
  <si>
    <t>IN-2013-53140</t>
  </si>
  <si>
    <t>ID-2014-76856</t>
  </si>
  <si>
    <t>ID-2014-65495</t>
  </si>
  <si>
    <t>ID-2014-56059</t>
  </si>
  <si>
    <t>ID-2011-78592</t>
  </si>
  <si>
    <t>ID-2012-37775</t>
  </si>
  <si>
    <t>ID-2014-45580</t>
  </si>
  <si>
    <t>ID-2014-16474</t>
  </si>
  <si>
    <t>ID-2014-71683</t>
  </si>
  <si>
    <t>IN-2012-62373</t>
  </si>
  <si>
    <t>IN-2014-77339</t>
  </si>
  <si>
    <t>IN-2011-50361</t>
  </si>
  <si>
    <t>ID-2013-32686</t>
  </si>
  <si>
    <t>ID-2013-16306</t>
  </si>
  <si>
    <t>ID-2011-72096</t>
  </si>
  <si>
    <t>ID-2014-10356</t>
  </si>
  <si>
    <t>IN-2014-44012</t>
  </si>
  <si>
    <t>IN-2013-17041</t>
  </si>
  <si>
    <t>IN-2013-13681</t>
  </si>
  <si>
    <t>ID-2013-19960</t>
  </si>
  <si>
    <t>IN-2014-54708</t>
  </si>
  <si>
    <t>IN-2012-42983</t>
  </si>
  <si>
    <t>IN-2011-22928</t>
  </si>
  <si>
    <t>IN-2014-79593</t>
  </si>
  <si>
    <t>IN-2012-26757</t>
  </si>
  <si>
    <t>IN-2014-37712</t>
  </si>
  <si>
    <t>ID-2014-13618</t>
  </si>
  <si>
    <t>ID-2014-31125</t>
  </si>
  <si>
    <t>IN-2013-68449</t>
  </si>
  <si>
    <t>ID-2013-63640</t>
  </si>
  <si>
    <t>IN-2014-17160</t>
  </si>
  <si>
    <t>ID-2013-33477</t>
  </si>
  <si>
    <t>IN-2012-17783</t>
  </si>
  <si>
    <t>ID-2012-76457</t>
  </si>
  <si>
    <t>IN-2011-53203</t>
  </si>
  <si>
    <t>IN-2014-51033</t>
  </si>
  <si>
    <t>IN-2011-11889</t>
  </si>
  <si>
    <t>IN-2013-17699</t>
  </si>
  <si>
    <t>IN-2013-64851</t>
  </si>
  <si>
    <t>ID-2013-60959</t>
  </si>
  <si>
    <t>IN-2014-66062</t>
  </si>
  <si>
    <t>IN-2014-68008</t>
  </si>
  <si>
    <t>IN-2013-65166</t>
  </si>
  <si>
    <t>ID-2014-61526</t>
  </si>
  <si>
    <t>IN-2014-51607</t>
  </si>
  <si>
    <t>ID-2014-70227</t>
  </si>
  <si>
    <t>IN-2011-40568</t>
  </si>
  <si>
    <t>IN-2011-60560</t>
  </si>
  <si>
    <t>ID-2014-42717</t>
  </si>
  <si>
    <t>ID-2012-72558</t>
  </si>
  <si>
    <t>ID-2014-25175</t>
  </si>
  <si>
    <t>ID-2014-62289</t>
  </si>
  <si>
    <t>IN-2013-19869</t>
  </si>
  <si>
    <t>IN-2014-48058</t>
  </si>
  <si>
    <t>IN-2012-44509</t>
  </si>
  <si>
    <t>IN-2014-60413</t>
  </si>
  <si>
    <t>IN-2011-64361</t>
  </si>
  <si>
    <t>ID-2013-70367</t>
  </si>
  <si>
    <t>IN-2014-30173</t>
  </si>
  <si>
    <t>ID-2012-37838</t>
  </si>
  <si>
    <t>ID-2011-10706</t>
  </si>
  <si>
    <t>ID-2011-47575</t>
  </si>
  <si>
    <t>IN-2014-21619</t>
  </si>
  <si>
    <t>ID-2012-31419</t>
  </si>
  <si>
    <t>ID-2011-20989</t>
  </si>
  <si>
    <t>IN-2012-12477</t>
  </si>
  <si>
    <t>IN-2014-49402</t>
  </si>
  <si>
    <t>ID-2012-37642</t>
  </si>
  <si>
    <t>ID-2013-40708</t>
  </si>
  <si>
    <t>IN-2013-19071</t>
  </si>
  <si>
    <t>ID-2014-39322</t>
  </si>
  <si>
    <t>ID-2012-28255</t>
  </si>
  <si>
    <t>IN-2012-33918</t>
  </si>
  <si>
    <t>IN-2014-47799</t>
  </si>
  <si>
    <t>IN-2011-56213</t>
  </si>
  <si>
    <t>ID-2013-64739</t>
  </si>
  <si>
    <t>IN-2014-42437</t>
  </si>
  <si>
    <t>IN-2013-14437</t>
  </si>
  <si>
    <t>IN-2012-44810</t>
  </si>
  <si>
    <t>ID-2011-75232</t>
  </si>
  <si>
    <t>IN-2014-61260</t>
  </si>
  <si>
    <t>IN-2013-51243</t>
  </si>
  <si>
    <t>IN-2012-41261</t>
  </si>
  <si>
    <t>ID-2013-55401</t>
  </si>
  <si>
    <t>ID-2014-25385</t>
  </si>
  <si>
    <t>ID-2011-17286</t>
  </si>
  <si>
    <t>IN-2012-75134</t>
  </si>
  <si>
    <t>ID-2011-66412</t>
  </si>
  <si>
    <t>IN-2014-38006</t>
  </si>
  <si>
    <t>IN-2012-52657</t>
  </si>
  <si>
    <t>ID-2014-69058</t>
  </si>
  <si>
    <t>IN-2014-11637</t>
  </si>
  <si>
    <t>IN-2014-41814</t>
  </si>
  <si>
    <t>IN-2013-31167</t>
  </si>
  <si>
    <t>ID-2014-68099</t>
  </si>
  <si>
    <t>IN-2012-36788</t>
  </si>
  <si>
    <t>IN-2014-16929</t>
  </si>
  <si>
    <t>IN-2012-16845</t>
  </si>
  <si>
    <t>ID-2013-48709</t>
  </si>
  <si>
    <t>ID-2011-22011</t>
  </si>
  <si>
    <t>ID-2011-26974</t>
  </si>
  <si>
    <t>IN-2012-73216</t>
  </si>
  <si>
    <t>IN-2011-33183</t>
  </si>
  <si>
    <t>ID-2011-20975</t>
  </si>
  <si>
    <t>ID-2014-41156</t>
  </si>
  <si>
    <t>IN-2014-54547</t>
  </si>
  <si>
    <t>IN-2012-24132</t>
  </si>
  <si>
    <t>IN-2013-12736</t>
  </si>
  <si>
    <t>IN-2014-37033</t>
  </si>
  <si>
    <t>IN-2014-45559</t>
  </si>
  <si>
    <t>ID-2014-77927</t>
  </si>
  <si>
    <t>IN-2013-25245</t>
  </si>
  <si>
    <t>ID-2012-40176</t>
  </si>
  <si>
    <t>IN-2013-20548</t>
  </si>
  <si>
    <t>ID-2013-46567</t>
  </si>
  <si>
    <t>IN-2012-29046</t>
  </si>
  <si>
    <t>ID-2011-55142</t>
  </si>
  <si>
    <t>IN-2014-25637</t>
  </si>
  <si>
    <t>ID-2013-51880</t>
  </si>
  <si>
    <t>ID-2011-74091</t>
  </si>
  <si>
    <t>IN-2013-33995</t>
  </si>
  <si>
    <t>IN-2013-65068</t>
  </si>
  <si>
    <t>IN-2013-62191</t>
  </si>
  <si>
    <t>IN-2014-26498</t>
  </si>
  <si>
    <t>ID-2014-48268</t>
  </si>
  <si>
    <t>IN-2012-25371</t>
  </si>
  <si>
    <t>ID-2013-27016</t>
  </si>
  <si>
    <t>ID-2011-16453</t>
  </si>
  <si>
    <t>IN-2014-57564</t>
  </si>
  <si>
    <t>ID-2014-39784</t>
  </si>
  <si>
    <t>IN-2014-56164</t>
  </si>
  <si>
    <t>IN-2011-67028</t>
  </si>
  <si>
    <t>ID-2012-28689</t>
  </si>
  <si>
    <t>ID-2013-44040</t>
  </si>
  <si>
    <t>IN-2012-10986</t>
  </si>
  <si>
    <t>ID-2014-37131</t>
  </si>
  <si>
    <t>ID-2013-59566</t>
  </si>
  <si>
    <t>ID-2013-42423</t>
  </si>
  <si>
    <t>IN-2011-14017</t>
  </si>
  <si>
    <t>ID-2014-43333</t>
  </si>
  <si>
    <t>IN-2014-51985</t>
  </si>
  <si>
    <t>ID-2014-17475</t>
  </si>
  <si>
    <t>IN-2014-43410</t>
  </si>
  <si>
    <t>ID-2014-26701</t>
  </si>
  <si>
    <t>ID-2011-57326</t>
  </si>
  <si>
    <t>ID-2011-59293</t>
  </si>
  <si>
    <t>ID-2014-20128</t>
  </si>
  <si>
    <t>ID-2014-38069</t>
  </si>
  <si>
    <t>ID-2011-57718</t>
  </si>
  <si>
    <t>ID-2014-37579</t>
  </si>
  <si>
    <t>ID-2013-51446</t>
  </si>
  <si>
    <t>IN-2013-11973</t>
  </si>
  <si>
    <t>IN-2011-42542</t>
  </si>
  <si>
    <t>IN-2014-28570</t>
  </si>
  <si>
    <t>ID-2012-24251</t>
  </si>
  <si>
    <t>ID-2011-48401</t>
  </si>
  <si>
    <t>ID-2013-61442</t>
  </si>
  <si>
    <t>IN-2013-48184</t>
  </si>
  <si>
    <t>ID-2014-15186</t>
  </si>
  <si>
    <t>ID-2011-24160</t>
  </si>
  <si>
    <t>ID-2014-74238</t>
  </si>
  <si>
    <t>ID-2011-20604</t>
  </si>
  <si>
    <t>ID-2011-23593</t>
  </si>
  <si>
    <t>ID-2011-30642</t>
  </si>
  <si>
    <t>ID-2011-42031</t>
  </si>
  <si>
    <t>IN-2013-35087</t>
  </si>
  <si>
    <t>IN-2012-35990</t>
  </si>
  <si>
    <t>IN-2012-44705</t>
  </si>
  <si>
    <t>IN-2012-31944</t>
  </si>
  <si>
    <t>IN-2014-29767</t>
  </si>
  <si>
    <t>IN-2011-56451</t>
  </si>
  <si>
    <t>IN-2013-49318</t>
  </si>
  <si>
    <t>ID-2013-76128</t>
  </si>
  <si>
    <t>ID-2014-69233</t>
  </si>
  <si>
    <t>IN-2011-63808</t>
  </si>
  <si>
    <t>IN-2011-50613</t>
  </si>
  <si>
    <t>IN-2014-64347</t>
  </si>
  <si>
    <t>IN-2014-46665</t>
  </si>
  <si>
    <t>IN-2012-40778</t>
  </si>
  <si>
    <t>IN-2012-64116</t>
  </si>
  <si>
    <t>ID-2013-46427</t>
  </si>
  <si>
    <t>IN-2014-72278</t>
  </si>
  <si>
    <t>ID-2013-66104</t>
  </si>
  <si>
    <t>ID-2014-51467</t>
  </si>
  <si>
    <t>ID-2014-33638</t>
  </si>
  <si>
    <t>IN-2012-56682</t>
  </si>
  <si>
    <t>ID-2014-46518</t>
  </si>
  <si>
    <t>IN-2014-30649</t>
  </si>
  <si>
    <t>IN-2011-61778</t>
  </si>
  <si>
    <t>ID-2013-78795</t>
  </si>
  <si>
    <t>IN-2012-19995</t>
  </si>
  <si>
    <t>IN-2013-19400</t>
  </si>
  <si>
    <t>ID-2012-45363</t>
  </si>
  <si>
    <t>IN-2012-28493</t>
  </si>
  <si>
    <t>IN-2012-28024</t>
  </si>
  <si>
    <t>IN-2012-36088</t>
  </si>
  <si>
    <t>ID-2013-53224</t>
  </si>
  <si>
    <t>IN-2013-15466</t>
  </si>
  <si>
    <t>IN-2012-78865</t>
  </si>
  <si>
    <t>ID-2014-24538</t>
  </si>
  <si>
    <t>IN-2014-48121</t>
  </si>
  <si>
    <t>ID-2013-74357</t>
  </si>
  <si>
    <t>IN-2014-46595</t>
  </si>
  <si>
    <t>ID-2013-47862</t>
  </si>
  <si>
    <t>ID-2014-39952</t>
  </si>
  <si>
    <t>ID-2011-18056</t>
  </si>
  <si>
    <t>IN-2014-14003</t>
  </si>
  <si>
    <t>IN-2014-17580</t>
  </si>
  <si>
    <t>ID-2011-50655</t>
  </si>
  <si>
    <t>IN-2011-36074</t>
  </si>
  <si>
    <t>IN-2012-67791</t>
  </si>
  <si>
    <t>IN-2014-57683</t>
  </si>
  <si>
    <t>ID-2011-59895</t>
  </si>
  <si>
    <t>ID-2013-78298</t>
  </si>
  <si>
    <t>IN-2013-18175</t>
  </si>
  <si>
    <t>IN-2011-23712</t>
  </si>
  <si>
    <t>ID-2013-64060</t>
  </si>
  <si>
    <t>IN-2013-19645</t>
  </si>
  <si>
    <t>IN-2012-51614</t>
  </si>
  <si>
    <t>ID-2014-14892</t>
  </si>
  <si>
    <t>IN-2012-41415</t>
  </si>
  <si>
    <t>ID-2011-69142</t>
  </si>
  <si>
    <t>IN-2013-40218</t>
  </si>
  <si>
    <t>IN-2013-47911</t>
  </si>
  <si>
    <t>IN-2012-16572</t>
  </si>
  <si>
    <t>IN-2014-69205</t>
  </si>
  <si>
    <t>ID-2011-41919</t>
  </si>
  <si>
    <t>ID-2013-36312</t>
  </si>
  <si>
    <t>IN-2014-44719</t>
  </si>
  <si>
    <t>ID-2014-48996</t>
  </si>
  <si>
    <t>ID-2011-30922</t>
  </si>
  <si>
    <t>IN-2014-71956</t>
  </si>
  <si>
    <t>ID-2013-24615</t>
  </si>
  <si>
    <t>ID-2014-15480</t>
  </si>
  <si>
    <t>IN-2012-40736</t>
  </si>
  <si>
    <t>ID-2012-62345</t>
  </si>
  <si>
    <t>IN-2011-58341</t>
  </si>
  <si>
    <t>IN-2012-70073</t>
  </si>
  <si>
    <t>ID-2014-41191</t>
  </si>
  <si>
    <t>IN-2012-52524</t>
  </si>
  <si>
    <t>IN-2014-56591</t>
  </si>
  <si>
    <t>IN-2014-24650</t>
  </si>
  <si>
    <t>ID-2013-50347</t>
  </si>
  <si>
    <t>IN-2014-35297</t>
  </si>
  <si>
    <t>IN-2011-59013</t>
  </si>
  <si>
    <t>ID-2012-16257</t>
  </si>
  <si>
    <t>IN-2013-38174</t>
  </si>
  <si>
    <t>ID-2012-32840</t>
  </si>
  <si>
    <t>IN-2011-66629</t>
  </si>
  <si>
    <t>IN-2011-68687</t>
  </si>
  <si>
    <t>IN-2011-73055</t>
  </si>
  <si>
    <t>IN-2011-38965</t>
  </si>
  <si>
    <t>ID-2013-30628</t>
  </si>
  <si>
    <t>IN-2011-18987</t>
  </si>
  <si>
    <t>IN-2013-18497</t>
  </si>
  <si>
    <t>IN-2014-66349</t>
  </si>
  <si>
    <t>ID-2014-55338</t>
  </si>
  <si>
    <t>IN-2014-75855</t>
  </si>
  <si>
    <t>ID-2012-13982</t>
  </si>
  <si>
    <t>IN-2011-52125</t>
  </si>
  <si>
    <t>ID-2013-68498</t>
  </si>
  <si>
    <t>IN-2014-47848</t>
  </si>
  <si>
    <t>IN-2013-56689</t>
  </si>
  <si>
    <t>ID-2013-68792</t>
  </si>
  <si>
    <t>IN-2012-37586</t>
  </si>
  <si>
    <t>IN-2014-28640</t>
  </si>
  <si>
    <t>IN-2014-73972</t>
  </si>
  <si>
    <t>IN-2014-19911</t>
  </si>
  <si>
    <t>ID-2012-61071</t>
  </si>
  <si>
    <t>ID-2014-28066</t>
  </si>
  <si>
    <t>IN-2014-63192</t>
  </si>
  <si>
    <t>ID-2014-33680</t>
  </si>
  <si>
    <t>IN-2013-45412</t>
  </si>
  <si>
    <t>IN-2014-77941</t>
  </si>
  <si>
    <t>IN-2011-36179</t>
  </si>
  <si>
    <t>IN-2014-17615</t>
  </si>
  <si>
    <t>IN-2013-40078</t>
  </si>
  <si>
    <t>IN-2013-77878</t>
  </si>
  <si>
    <t>IN-2014-71907</t>
  </si>
  <si>
    <t>IN-2011-17062</t>
  </si>
  <si>
    <t>IN-2011-65159</t>
  </si>
  <si>
    <t>ID-2013-71522</t>
  </si>
  <si>
    <t>IN-2013-18980</t>
  </si>
  <si>
    <t>IN-2012-44691</t>
  </si>
  <si>
    <t>ID-2012-44173</t>
  </si>
  <si>
    <t>IN-2012-68911</t>
  </si>
  <si>
    <t>IN-2013-27541</t>
  </si>
  <si>
    <t>IN-2014-43571</t>
  </si>
  <si>
    <t>ID-2013-60637</t>
  </si>
  <si>
    <t>ID-2012-72453</t>
  </si>
  <si>
    <t>IN-2013-17958</t>
  </si>
  <si>
    <t>ID-2014-75183</t>
  </si>
  <si>
    <t>ID-2014-35836</t>
  </si>
  <si>
    <t>ID-2011-37782</t>
  </si>
  <si>
    <t>ID-2011-49031</t>
  </si>
  <si>
    <t>IN-2014-75470</t>
  </si>
  <si>
    <t>IN-2014-41093</t>
  </si>
  <si>
    <t>ID-2014-35269</t>
  </si>
  <si>
    <t>IN-2011-40715</t>
  </si>
  <si>
    <t>ID-2013-25742</t>
  </si>
  <si>
    <t>IN-2013-14409</t>
  </si>
  <si>
    <t>IN-2011-23789</t>
  </si>
  <si>
    <t>ID-2011-65124</t>
  </si>
  <si>
    <t>ID-2014-60665</t>
  </si>
  <si>
    <t>ID-2014-33134</t>
  </si>
  <si>
    <t>ID-2014-25707</t>
  </si>
  <si>
    <t>ID-2012-77318</t>
  </si>
  <si>
    <t>IN-2013-48807</t>
  </si>
  <si>
    <t>ID-2011-77332</t>
  </si>
  <si>
    <t>ID-2013-26449</t>
  </si>
  <si>
    <t>ID-2012-45930</t>
  </si>
  <si>
    <t>ID-2013-34051</t>
  </si>
  <si>
    <t>IN-2013-69009</t>
  </si>
  <si>
    <t>ID-2014-46714</t>
  </si>
  <si>
    <t>IN-2013-13786</t>
  </si>
  <si>
    <t>ID-2012-44964</t>
  </si>
  <si>
    <t>IN-2014-31356</t>
  </si>
  <si>
    <t>ID-2014-65824</t>
  </si>
  <si>
    <t>IN-2012-30145</t>
  </si>
  <si>
    <t>IN-2011-60196</t>
  </si>
  <si>
    <t>ID-2012-36725</t>
  </si>
  <si>
    <t>IN-2011-54533</t>
  </si>
  <si>
    <t>ID-2012-73062</t>
  </si>
  <si>
    <t>IN-2011-62331</t>
  </si>
  <si>
    <t>IN-2013-64578</t>
  </si>
  <si>
    <t>IN-2013-69128</t>
  </si>
  <si>
    <t>IN-2013-42192</t>
  </si>
  <si>
    <t>ID-2014-58271</t>
  </si>
  <si>
    <t>IN-2012-56178</t>
  </si>
  <si>
    <t>IN-2011-41394</t>
  </si>
  <si>
    <t>ID-2013-64970</t>
  </si>
  <si>
    <t>ID-2012-10755</t>
  </si>
  <si>
    <t>ID-2011-54834</t>
  </si>
  <si>
    <t>IN-2012-31272</t>
  </si>
  <si>
    <t>IN-2012-75211</t>
  </si>
  <si>
    <t>IN-2014-18441</t>
  </si>
  <si>
    <t>IN-2014-13478</t>
  </si>
  <si>
    <t>ID-2014-15515</t>
  </si>
  <si>
    <t>IN-2011-35857</t>
  </si>
  <si>
    <t>IN-2011-13492</t>
  </si>
  <si>
    <t>IN-2014-77059</t>
  </si>
  <si>
    <t>IN-2014-58607</t>
  </si>
  <si>
    <t>IN-2011-17594</t>
  </si>
  <si>
    <t>IN-2013-36641</t>
  </si>
  <si>
    <t>IN-2014-62275</t>
  </si>
  <si>
    <t>ID-2014-45104</t>
  </si>
  <si>
    <t>IN-2012-29228</t>
  </si>
  <si>
    <t>IN-2014-39371</t>
  </si>
  <si>
    <t>IN-2011-25070</t>
  </si>
  <si>
    <t>IN-2013-41198</t>
  </si>
  <si>
    <t>ID-2011-40953</t>
  </si>
  <si>
    <t>ID-2014-12428</t>
  </si>
  <si>
    <t>ID-2014-65831</t>
  </si>
  <si>
    <t>IN-2011-77885</t>
  </si>
  <si>
    <t>IN-2013-59454</t>
  </si>
  <si>
    <t>ID-2014-56339</t>
  </si>
  <si>
    <t>ID-2014-39525</t>
  </si>
  <si>
    <t>IN-2012-48744</t>
  </si>
  <si>
    <t>IN-2012-72978</t>
  </si>
  <si>
    <t>IN-2012-66531</t>
  </si>
  <si>
    <t>IN-2014-35227</t>
  </si>
  <si>
    <t>ID-2013-13562</t>
  </si>
  <si>
    <t>IN-2013-64977</t>
  </si>
  <si>
    <t>ID-2014-43725</t>
  </si>
  <si>
    <t>IN-2012-63934</t>
  </si>
  <si>
    <t>IN-2014-35395</t>
  </si>
  <si>
    <t>ID-2013-58579</t>
  </si>
  <si>
    <t>IN-2013-53882</t>
  </si>
  <si>
    <t>ID-2012-40750</t>
  </si>
  <si>
    <t>ID-2011-64599</t>
  </si>
  <si>
    <t>IN-2012-64081</t>
  </si>
  <si>
    <t>IN-2014-17027</t>
  </si>
  <si>
    <t>IN-2014-20408</t>
  </si>
  <si>
    <t>ID-2013-52643</t>
  </si>
  <si>
    <t>IN-2012-78067</t>
  </si>
  <si>
    <t>ID-2011-27779</t>
  </si>
  <si>
    <t>ID-2013-20471</t>
  </si>
  <si>
    <t>IN-2014-21059</t>
  </si>
  <si>
    <t>ID-2011-76884</t>
  </si>
  <si>
    <t>IN-2013-55639</t>
  </si>
  <si>
    <t>IN-2014-68337</t>
  </si>
  <si>
    <t>IN-2012-49864</t>
  </si>
  <si>
    <t>IN-2013-47281</t>
  </si>
  <si>
    <t>ID-2014-71403</t>
  </si>
  <si>
    <t>IN-2014-66573</t>
  </si>
  <si>
    <t>IN-2014-20338</t>
  </si>
  <si>
    <t>IN-2012-69044</t>
  </si>
  <si>
    <t>IN-2013-16999</t>
  </si>
  <si>
    <t>IN-2013-21003</t>
  </si>
  <si>
    <t>IN-2013-22571</t>
  </si>
  <si>
    <t>IN-2014-44614</t>
  </si>
  <si>
    <t>ID-2013-68841</t>
  </si>
  <si>
    <t>IN-2011-79761</t>
  </si>
  <si>
    <t>IN-2014-39931</t>
  </si>
  <si>
    <t>ID-2011-64837</t>
  </si>
  <si>
    <t>IN-2014-73447</t>
  </si>
  <si>
    <t>IN-2011-31020</t>
  </si>
  <si>
    <t>ID-2014-74119</t>
  </si>
  <si>
    <t>IN-2012-27597</t>
  </si>
  <si>
    <t>IN-2014-71004</t>
  </si>
  <si>
    <t>IN-2012-59391</t>
  </si>
  <si>
    <t>IN-2011-12806</t>
  </si>
  <si>
    <t>ID-2014-62744</t>
  </si>
  <si>
    <t>IN-2014-76422</t>
  </si>
  <si>
    <t>IN-2011-30894</t>
  </si>
  <si>
    <t>ID-2011-17174</t>
  </si>
  <si>
    <t>ID-2012-54596</t>
  </si>
  <si>
    <t>IN-2014-69100</t>
  </si>
  <si>
    <t>IN-2012-24783</t>
  </si>
  <si>
    <t>IN-2012-39336</t>
  </si>
  <si>
    <t>IN-2012-69072</t>
  </si>
  <si>
    <t>ID-2014-54442</t>
  </si>
  <si>
    <t>IN-2013-12715</t>
  </si>
  <si>
    <t>IN-2013-51775</t>
  </si>
  <si>
    <t>IN-2014-54995</t>
  </si>
  <si>
    <t>ID-2014-73678</t>
  </si>
  <si>
    <t>ID-2011-78193</t>
  </si>
  <si>
    <t>ID-2013-74875</t>
  </si>
  <si>
    <t>IN-2013-19736</t>
  </si>
  <si>
    <t>IN-2013-25112</t>
  </si>
  <si>
    <t>ID-2014-45083</t>
  </si>
  <si>
    <t>IN-2014-19925</t>
  </si>
  <si>
    <t>IN-2011-76758</t>
  </si>
  <si>
    <t>ID-2014-33827</t>
  </si>
  <si>
    <t>IN-2011-55800</t>
  </si>
  <si>
    <t>IN-2013-70990</t>
  </si>
  <si>
    <t>ID-2014-42066</t>
  </si>
  <si>
    <t>ID-2014-37516</t>
  </si>
  <si>
    <t>ID-2014-70640</t>
  </si>
  <si>
    <t>ID-2014-31363</t>
  </si>
  <si>
    <t>ID-2014-10160</t>
  </si>
  <si>
    <t>IN-2013-37446</t>
  </si>
  <si>
    <t>ID-2012-37005</t>
  </si>
  <si>
    <t>IN-2014-31790</t>
  </si>
  <si>
    <t>ID-2011-69772</t>
  </si>
  <si>
    <t>IN-2014-62366</t>
  </si>
  <si>
    <t>ID-2014-60112</t>
  </si>
  <si>
    <t>ID-2012-36221</t>
  </si>
  <si>
    <t>ID-2014-56752</t>
  </si>
  <si>
    <t>ID-2012-23775</t>
  </si>
  <si>
    <t>IN-2011-72705</t>
  </si>
  <si>
    <t>IN-2014-23159</t>
  </si>
  <si>
    <t>ID-2013-54631</t>
  </si>
  <si>
    <t>ID-2014-56220</t>
  </si>
  <si>
    <t>ID-2012-22550</t>
  </si>
  <si>
    <t>ID-2013-66258</t>
  </si>
  <si>
    <t>ID-2012-64879</t>
  </si>
  <si>
    <t>IN-2011-24349</t>
  </si>
  <si>
    <t>IN-2012-26484</t>
  </si>
  <si>
    <t>ID-2014-51754</t>
  </si>
  <si>
    <t>ID-2014-24125</t>
  </si>
  <si>
    <t>IN-2014-24531</t>
  </si>
  <si>
    <t>ID-2014-27765</t>
  </si>
  <si>
    <t>IN-2012-32882</t>
  </si>
  <si>
    <t>IN-2013-11679</t>
  </si>
  <si>
    <t>ID-2014-77703</t>
  </si>
  <si>
    <t>ID-2012-70857</t>
  </si>
  <si>
    <t>ID-2011-33295</t>
  </si>
  <si>
    <t>ID-2011-17720</t>
  </si>
  <si>
    <t>ID-2014-34303</t>
  </si>
  <si>
    <t>ID-2013-46329</t>
  </si>
  <si>
    <t>IN-2011-42892</t>
  </si>
  <si>
    <t>ID-2012-39595</t>
  </si>
  <si>
    <t>ID-2014-74973</t>
  </si>
  <si>
    <t>ID-2011-46483</t>
  </si>
  <si>
    <t>IN-2014-10979</t>
  </si>
  <si>
    <t>ID-2013-79117</t>
  </si>
  <si>
    <t>IN-2014-62338</t>
  </si>
  <si>
    <t>ID-2011-75652</t>
  </si>
  <si>
    <t>IN-2013-35304</t>
  </si>
  <si>
    <t>ID-2014-18665</t>
  </si>
  <si>
    <t>IN-2012-23089</t>
  </si>
  <si>
    <t>IN-2014-34534</t>
  </si>
  <si>
    <t>IN-2014-15011</t>
  </si>
  <si>
    <t>ID-2011-13240</t>
  </si>
  <si>
    <t>IN-2012-40274</t>
  </si>
  <si>
    <t>ID-2013-63570</t>
  </si>
  <si>
    <t>ID-2014-31440</t>
  </si>
  <si>
    <t>IN-2013-59160</t>
  </si>
  <si>
    <t>IN-2011-39994</t>
  </si>
  <si>
    <t>ID-2014-48961</t>
  </si>
  <si>
    <t>ID-2011-31699</t>
  </si>
  <si>
    <t>ID-2014-52797</t>
  </si>
  <si>
    <t>ID-2012-62240</t>
  </si>
  <si>
    <t>IN-2014-35346</t>
  </si>
  <si>
    <t>IN-2014-27863</t>
  </si>
  <si>
    <t>ID-2013-44607</t>
  </si>
  <si>
    <t>IN-2011-56486</t>
  </si>
  <si>
    <t>ID-2014-18644</t>
  </si>
  <si>
    <t>IN-2013-33204</t>
  </si>
  <si>
    <t>ID-2012-79999</t>
  </si>
  <si>
    <t>IN-2014-59643</t>
  </si>
  <si>
    <t>IN-2012-68897</t>
  </si>
  <si>
    <t>ID-2014-52475</t>
  </si>
  <si>
    <t>IN-2013-22298</t>
  </si>
  <si>
    <t>IN-2012-45972</t>
  </si>
  <si>
    <t>ID-2014-63864</t>
  </si>
  <si>
    <t>IN-2014-43039</t>
  </si>
  <si>
    <t>ID-2011-17237</t>
  </si>
  <si>
    <t>ID-2013-72362</t>
  </si>
  <si>
    <t>IN-2012-13772</t>
  </si>
  <si>
    <t>IN-2014-23929</t>
  </si>
  <si>
    <t>IN-2014-48737</t>
  </si>
  <si>
    <t>IN-2014-20485</t>
  </si>
  <si>
    <t>ID-2013-67693</t>
  </si>
  <si>
    <t>IN-2012-40785</t>
  </si>
  <si>
    <t>IN-2014-52384</t>
  </si>
  <si>
    <t>IN-2011-33890</t>
  </si>
  <si>
    <t>IN-2011-76338</t>
  </si>
  <si>
    <t>ID-2013-26092</t>
  </si>
  <si>
    <t>IN-2012-44194</t>
  </si>
  <si>
    <t>ID-2013-41968</t>
  </si>
  <si>
    <t>IN-2014-23481</t>
  </si>
  <si>
    <t>ID-2012-64844</t>
  </si>
  <si>
    <t>ID-2014-86033</t>
  </si>
  <si>
    <t>IN-2012-83380</t>
  </si>
  <si>
    <t>IN-2014-84948</t>
  </si>
  <si>
    <t>IN-2012-85935</t>
  </si>
  <si>
    <t>ID-2013-85074</t>
  </si>
  <si>
    <t>IN-2012-80370</t>
  </si>
  <si>
    <t>IN-2014-84353</t>
  </si>
  <si>
    <t>ID-2013-83975</t>
  </si>
  <si>
    <t>IN-2011-86278</t>
  </si>
  <si>
    <t>IN-2011-86642</t>
  </si>
  <si>
    <t>IN-2013-84584</t>
  </si>
  <si>
    <t>IN-2012-81812</t>
  </si>
  <si>
    <t>IN-2011-85284</t>
  </si>
  <si>
    <t>ID-2012-85095</t>
  </si>
  <si>
    <t>FUR-FU-10000944</t>
  </si>
  <si>
    <t>OFF-AP-10002882</t>
  </si>
  <si>
    <t>OFF-BI-10000168</t>
  </si>
  <si>
    <t>TEC-PH-10001354</t>
  </si>
  <si>
    <t>OFF-LA-10003396</t>
  </si>
  <si>
    <t>OFF-AR-10001134</t>
  </si>
  <si>
    <t>OFF-SU-10004177</t>
  </si>
  <si>
    <t>OFF-BI-10000089</t>
  </si>
  <si>
    <t>OFF-EN-10003463</t>
  </si>
  <si>
    <t>FUR-CH-10001871</t>
  </si>
  <si>
    <t>TEC-CO-10000666</t>
  </si>
  <si>
    <t>OFF-SU-10004848</t>
  </si>
  <si>
    <t>OFF-PA-10003332</t>
  </si>
  <si>
    <t>OFF-AP-10000487</t>
  </si>
  <si>
    <t>OFF-LA-10000095</t>
  </si>
  <si>
    <t>TEC-MA-10003553</t>
  </si>
  <si>
    <t>OFF-AR-10000027</t>
  </si>
  <si>
    <t>FUR-CH-10001313</t>
  </si>
  <si>
    <t>OFF-ST-10003837</t>
  </si>
  <si>
    <t>OFF-AR-10004486</t>
  </si>
  <si>
    <t>OFF-PA-10000694</t>
  </si>
  <si>
    <t>OFF-LA-10002139</t>
  </si>
  <si>
    <t>TEC-AC-10001500</t>
  </si>
  <si>
    <t>FUR-CH-10003836</t>
  </si>
  <si>
    <t>FUR-FU-10004158</t>
  </si>
  <si>
    <t>OFF-BI-10004098</t>
  </si>
  <si>
    <t>TEC-AC-10001639</t>
  </si>
  <si>
    <t>TEC-CO-10000786</t>
  </si>
  <si>
    <t>FUR-BO-10004806</t>
  </si>
  <si>
    <t>OFF-AR-10000539</t>
  </si>
  <si>
    <t>OFF-PA-10002461</t>
  </si>
  <si>
    <t>OFF-FA-10000577</t>
  </si>
  <si>
    <t>OFF-AR-10004780</t>
  </si>
  <si>
    <t>OFF-BI-10004868</t>
  </si>
  <si>
    <t>OFF-LA-10004848</t>
  </si>
  <si>
    <t>OFF-ST-10003810</t>
  </si>
  <si>
    <t>OFF-ST-10003445</t>
  </si>
  <si>
    <t>OFF-BI-10002424</t>
  </si>
  <si>
    <t>OFF-LA-10000506</t>
  </si>
  <si>
    <t>OFF-PA-10004260</t>
  </si>
  <si>
    <t>FUR-CH-10004009</t>
  </si>
  <si>
    <t>OFF-FA-10001187</t>
  </si>
  <si>
    <t>OFF-FA-10001045</t>
  </si>
  <si>
    <t>OFF-BI-10001904</t>
  </si>
  <si>
    <t>OFF-AR-10002727</t>
  </si>
  <si>
    <t>OFF-LA-10002088</t>
  </si>
  <si>
    <t>OFF-BI-10004454</t>
  </si>
  <si>
    <t>OFF-ST-10002714</t>
  </si>
  <si>
    <t>OFF-ST-10004015</t>
  </si>
  <si>
    <t>FUR-FU-10000921</t>
  </si>
  <si>
    <t>OFF-FA-10002597</t>
  </si>
  <si>
    <t>TEC-CO-10003982</t>
  </si>
  <si>
    <t>OFF-BI-10002907</t>
  </si>
  <si>
    <t>FUR-CH-10004065</t>
  </si>
  <si>
    <t>OFF-AR-10000762</t>
  </si>
  <si>
    <t>TEC-PH-10000297</t>
  </si>
  <si>
    <t>OFF-FA-10003604</t>
  </si>
  <si>
    <t>FUR-CH-10004694</t>
  </si>
  <si>
    <t>OFF-PA-10000302</t>
  </si>
  <si>
    <t>OFF-BI-10004651</t>
  </si>
  <si>
    <t>FUR-BO-10002819</t>
  </si>
  <si>
    <t>TEC-AC-10000857</t>
  </si>
  <si>
    <t>OFF-AR-10000681</t>
  </si>
  <si>
    <t>OFF-BI-10002243</t>
  </si>
  <si>
    <t>TEC-CO-10003354</t>
  </si>
  <si>
    <t>OFF-BI-10002881</t>
  </si>
  <si>
    <t>FUR-CH-10002573</t>
  </si>
  <si>
    <t>TEC-AC-10004016</t>
  </si>
  <si>
    <t>FUR-BO-10001342</t>
  </si>
  <si>
    <t>FUR-CH-10003580</t>
  </si>
  <si>
    <t>FUR-CH-10002224</t>
  </si>
  <si>
    <t>TEC-AC-10002221</t>
  </si>
  <si>
    <t>TEC-AC-10002482</t>
  </si>
  <si>
    <t>OFF-SU-10004236</t>
  </si>
  <si>
    <t>TEC-CO-10001654</t>
  </si>
  <si>
    <t>OFF-BI-10003806</t>
  </si>
  <si>
    <t>OFF-LA-10004430</t>
  </si>
  <si>
    <t>OFF-ST-10003203</t>
  </si>
  <si>
    <t>TEC-PH-10003891</t>
  </si>
  <si>
    <t>TEC-PH-10004675</t>
  </si>
  <si>
    <t>OFF-LA-10004745</t>
  </si>
  <si>
    <t>FUR-CH-10003512</t>
  </si>
  <si>
    <t>OFF-ST-10003547</t>
  </si>
  <si>
    <t>FUR-BO-10001753</t>
  </si>
  <si>
    <t>FUR-FU-10002803</t>
  </si>
  <si>
    <t>OFF-AR-10002417</t>
  </si>
  <si>
    <t>OFF-EN-10002700</t>
  </si>
  <si>
    <t>TEC-PH-10001921</t>
  </si>
  <si>
    <t>OFF-AR-10002109</t>
  </si>
  <si>
    <t>FUR-CH-10003551</t>
  </si>
  <si>
    <t>OFF-AR-10001850</t>
  </si>
  <si>
    <t>OFF-ST-10002774</t>
  </si>
  <si>
    <t>TEC-PH-10003348</t>
  </si>
  <si>
    <t>TEC-MA-10002226</t>
  </si>
  <si>
    <t>FUR-BO-10001212</t>
  </si>
  <si>
    <t>OFF-SU-10000207</t>
  </si>
  <si>
    <t>OFF-AR-10004990</t>
  </si>
  <si>
    <t>OFF-LA-10000950</t>
  </si>
  <si>
    <t>TEC-AC-10004773</t>
  </si>
  <si>
    <t>OFF-SU-10004008</t>
  </si>
  <si>
    <t>FUR-BO-10002736</t>
  </si>
  <si>
    <t>TEC-CO-10000794</t>
  </si>
  <si>
    <t>FUR-CH-10004580</t>
  </si>
  <si>
    <t>TEC-AC-10003895</t>
  </si>
  <si>
    <t>OFF-EN-10001976</t>
  </si>
  <si>
    <t>OFF-BI-10003031</t>
  </si>
  <si>
    <t>FUR-CH-10002061</t>
  </si>
  <si>
    <t>OFF-ST-10002834</t>
  </si>
  <si>
    <t>OFF-SU-10004846</t>
  </si>
  <si>
    <t>TEC-MA-10002468</t>
  </si>
  <si>
    <t>OFF-BI-10002558</t>
  </si>
  <si>
    <t>OFF-LA-10000624</t>
  </si>
  <si>
    <t>FUR-BO-10003783</t>
  </si>
  <si>
    <t>OFF-ST-10000622</t>
  </si>
  <si>
    <t>OFF-EN-10000539</t>
  </si>
  <si>
    <t>OFF-SU-10002543</t>
  </si>
  <si>
    <t>OFF-LA-10002020</t>
  </si>
  <si>
    <t>OFF-FA-10001375</t>
  </si>
  <si>
    <t>OFF-FA-10001925</t>
  </si>
  <si>
    <t>TEC-MA-10003492</t>
  </si>
  <si>
    <t>TEC-PH-10002806</t>
  </si>
  <si>
    <t>OFF-LA-10002939</t>
  </si>
  <si>
    <t>OFF-FA-10000248</t>
  </si>
  <si>
    <t>OFF-EN-10004550</t>
  </si>
  <si>
    <t>FUR-BO-10001501</t>
  </si>
  <si>
    <t>OFF-ST-10002161</t>
  </si>
  <si>
    <t>OFF-BI-10000854</t>
  </si>
  <si>
    <t>TEC-AC-10001835</t>
  </si>
  <si>
    <t>OFF-PA-10004968</t>
  </si>
  <si>
    <t>OFF-BI-10002329</t>
  </si>
  <si>
    <t>FUR-CH-10002626</t>
  </si>
  <si>
    <t>OFF-SU-10000866</t>
  </si>
  <si>
    <t>OFF-SU-10001573</t>
  </si>
  <si>
    <t>OFF-FA-10000038</t>
  </si>
  <si>
    <t>TEC-PH-10004221</t>
  </si>
  <si>
    <t>OFF-ST-10004583</t>
  </si>
  <si>
    <t>OFF-EN-10000904</t>
  </si>
  <si>
    <t>OFF-LA-10003141</t>
  </si>
  <si>
    <t>OFF-EN-10003508</t>
  </si>
  <si>
    <t>OFF-AR-10001208</t>
  </si>
  <si>
    <t>OFF-FA-10004910</t>
  </si>
  <si>
    <t>TEC-AC-10000596</t>
  </si>
  <si>
    <t>TEC-CO-10003250</t>
  </si>
  <si>
    <t>OFF-FA-10000353</t>
  </si>
  <si>
    <t>OFF-EN-10004526</t>
  </si>
  <si>
    <t>FUR-TA-10004730</t>
  </si>
  <si>
    <t>TEC-PH-10001884</t>
  </si>
  <si>
    <t>OFF-PA-10004673</t>
  </si>
  <si>
    <t>TEC-MA-10000345</t>
  </si>
  <si>
    <t>OFF-SU-10000932</t>
  </si>
  <si>
    <t>FUR-BO-10002032</t>
  </si>
  <si>
    <t>OFF-BI-10002682</t>
  </si>
  <si>
    <t>FUR-BO-10004161</t>
  </si>
  <si>
    <t>OFF-PA-10003731</t>
  </si>
  <si>
    <t>FUR-CH-10003692</t>
  </si>
  <si>
    <t>TEC-CO-10001726</t>
  </si>
  <si>
    <t>OFF-AR-10003684</t>
  </si>
  <si>
    <t>FUR-CH-10001382</t>
  </si>
  <si>
    <t>FUR-CH-10001203</t>
  </si>
  <si>
    <t>FUR-CH-10000974</t>
  </si>
  <si>
    <t>OFF-PA-10004573</t>
  </si>
  <si>
    <t>OFF-AR-10004219</t>
  </si>
  <si>
    <t>OFF-SU-10003789</t>
  </si>
  <si>
    <t>OFF-FA-10003437</t>
  </si>
  <si>
    <t>TEC-MA-10004553</t>
  </si>
  <si>
    <t>OFF-ST-10001366</t>
  </si>
  <si>
    <t>FUR-TA-10003078</t>
  </si>
  <si>
    <t>FUR-CH-10001322</t>
  </si>
  <si>
    <t>FUR-FU-10001770</t>
  </si>
  <si>
    <t>FUR-BO-10001934</t>
  </si>
  <si>
    <t>FUR-CH-10002966</t>
  </si>
  <si>
    <t>OFF-PA-10003418</t>
  </si>
  <si>
    <t>TEC-CO-10004267</t>
  </si>
  <si>
    <t>FUR-CH-10003419</t>
  </si>
  <si>
    <t>FUR-BO-10001216</t>
  </si>
  <si>
    <t>OFF-BI-10004589</t>
  </si>
  <si>
    <t>TEC-PH-10001535</t>
  </si>
  <si>
    <t>OFF-BI-10000439</t>
  </si>
  <si>
    <t>OFF-SU-10000723</t>
  </si>
  <si>
    <t>OFF-SU-10003559</t>
  </si>
  <si>
    <t>FUR-FU-10002665</t>
  </si>
  <si>
    <t>OFF-SU-10003527</t>
  </si>
  <si>
    <t>OFF-SU-10004497</t>
  </si>
  <si>
    <t>OFF-AR-10000465</t>
  </si>
  <si>
    <t>OFF-AR-10002392</t>
  </si>
  <si>
    <t>OFF-BI-10001659</t>
  </si>
  <si>
    <t>OFF-FA-10001082</t>
  </si>
  <si>
    <t>TEC-PH-10003794</t>
  </si>
  <si>
    <t>TEC-CO-10001157</t>
  </si>
  <si>
    <t>OFF-PA-10003405</t>
  </si>
  <si>
    <t>OFF-FA-10000757</t>
  </si>
  <si>
    <t>TEC-AC-10003861</t>
  </si>
  <si>
    <t>TEC-MA-10004822</t>
  </si>
  <si>
    <t>OFF-BI-10004436</t>
  </si>
  <si>
    <t>FUR-BO-10004852</t>
  </si>
  <si>
    <t>OFF-EN-10004462</t>
  </si>
  <si>
    <t>OFF-AR-10000097</t>
  </si>
  <si>
    <t>OFF-ST-10004315</t>
  </si>
  <si>
    <t>OFF-BI-10001286</t>
  </si>
  <si>
    <t>OFF-LA-10003215</t>
  </si>
  <si>
    <t>OFF-ST-10004228</t>
  </si>
  <si>
    <t>OFF-EN-10001528</t>
  </si>
  <si>
    <t>TEC-PH-10001805</t>
  </si>
  <si>
    <t>OFF-PA-10002047</t>
  </si>
  <si>
    <t>TEC-CO-10002380</t>
  </si>
  <si>
    <t>FUR-CH-10002412</t>
  </si>
  <si>
    <t>OFF-AR-10002897</t>
  </si>
  <si>
    <t>OFF-EN-10002985</t>
  </si>
  <si>
    <t>OFF-EN-10002581</t>
  </si>
  <si>
    <t>FUR-CH-10003965</t>
  </si>
  <si>
    <t>TEC-MA-10000868</t>
  </si>
  <si>
    <t>TEC-AC-10000051</t>
  </si>
  <si>
    <t>OFF-BI-10002919</t>
  </si>
  <si>
    <t>FUR-FU-10003214</t>
  </si>
  <si>
    <t>TEC-MA-10003338</t>
  </si>
  <si>
    <t>OFF-LA-10004877</t>
  </si>
  <si>
    <t>OFF-LA-10002107</t>
  </si>
  <si>
    <t>TEC-CO-10003353</t>
  </si>
  <si>
    <t>OFF-LA-10001185</t>
  </si>
  <si>
    <t>TEC-CO-10001531</t>
  </si>
  <si>
    <t>OFF-SU-10002566</t>
  </si>
  <si>
    <t>OFF-BI-10001032</t>
  </si>
  <si>
    <t>OFF-SU-10002388</t>
  </si>
  <si>
    <t>OFF-BI-10000721</t>
  </si>
  <si>
    <t>OFF-EN-10001029</t>
  </si>
  <si>
    <t>OFF-EN-10001154</t>
  </si>
  <si>
    <t>OFF-BI-10003018</t>
  </si>
  <si>
    <t>OFF-AR-10003957</t>
  </si>
  <si>
    <t>FUR-FU-10001746</t>
  </si>
  <si>
    <t>OFF-LA-10000322</t>
  </si>
  <si>
    <t>OFF-EN-10003632</t>
  </si>
  <si>
    <t>TEC-PH-10001990</t>
  </si>
  <si>
    <t>OFF-BI-10000698</t>
  </si>
  <si>
    <t>TEC-CO-10001674</t>
  </si>
  <si>
    <t>FUR-CH-10001664</t>
  </si>
  <si>
    <t>OFF-BI-10004078</t>
  </si>
  <si>
    <t>OFF-ST-10003319</t>
  </si>
  <si>
    <t>TEC-MA-10003170</t>
  </si>
  <si>
    <t>FUR-FU-10001640</t>
  </si>
  <si>
    <t>OFF-AR-10001862</t>
  </si>
  <si>
    <t>TEC-PH-10001699</t>
  </si>
  <si>
    <t>OFF-PA-10003938</t>
  </si>
  <si>
    <t>TEC-MA-10003314</t>
  </si>
  <si>
    <t>OFF-ST-10001342</t>
  </si>
  <si>
    <t>OFF-LA-10002630</t>
  </si>
  <si>
    <t>FUR-CH-10002250</t>
  </si>
  <si>
    <t>FUR-FU-10003447</t>
  </si>
  <si>
    <t>TEC-MA-10001711</t>
  </si>
  <si>
    <t>FUR-BO-10000195</t>
  </si>
  <si>
    <t>OFF-PA-10004268</t>
  </si>
  <si>
    <t>FUR-FU-10003420</t>
  </si>
  <si>
    <t>OFF-ST-10001186</t>
  </si>
  <si>
    <t>FUR-CH-10000027</t>
  </si>
  <si>
    <t>FUR-FU-10003052</t>
  </si>
  <si>
    <t>OFF-ST-10000103</t>
  </si>
  <si>
    <t>OFF-BI-10001324</t>
  </si>
  <si>
    <t>OFF-LA-10001764</t>
  </si>
  <si>
    <t>OFF-PA-10003878</t>
  </si>
  <si>
    <t>TEC-AC-10001735</t>
  </si>
  <si>
    <t>TEC-PH-10003772</t>
  </si>
  <si>
    <t>TEC-AC-10003734</t>
  </si>
  <si>
    <t>OFF-AP-10001305</t>
  </si>
  <si>
    <t>OFF-SU-10000649</t>
  </si>
  <si>
    <t>TEC-PH-10003430</t>
  </si>
  <si>
    <t>OFF-FA-10001309</t>
  </si>
  <si>
    <t>TEC-PH-10002683</t>
  </si>
  <si>
    <t>OFF-PA-10004337</t>
  </si>
  <si>
    <t>FUR-CH-10003861</t>
  </si>
  <si>
    <t>OFF-FA-10002481</t>
  </si>
  <si>
    <t>OFF-PA-10001327</t>
  </si>
  <si>
    <t>FUR-BO-10001679</t>
  </si>
  <si>
    <t>TEC-MA-10004613</t>
  </si>
  <si>
    <t>TEC-PH-10000822</t>
  </si>
  <si>
    <t>TEC-AC-10003413</t>
  </si>
  <si>
    <t>FUR-FU-10002210</t>
  </si>
  <si>
    <t>OFF-AP-10001905</t>
  </si>
  <si>
    <t>TEC-MA-10003178</t>
  </si>
  <si>
    <t>OFF-FA-10000294</t>
  </si>
  <si>
    <t>FUR-CH-10000391</t>
  </si>
  <si>
    <t>OFF-PA-10000344</t>
  </si>
  <si>
    <t>OFF-AP-10001931</t>
  </si>
  <si>
    <t>OFF-ST-10003159</t>
  </si>
  <si>
    <t>TEC-PH-10002152</t>
  </si>
  <si>
    <t>TEC-CO-10002150</t>
  </si>
  <si>
    <t>TEC-CO-10000447</t>
  </si>
  <si>
    <t>OFF-AP-10000653</t>
  </si>
  <si>
    <t>FUR-FU-10002890</t>
  </si>
  <si>
    <t>TEC-MA-10000606</t>
  </si>
  <si>
    <t>TEC-CO-10001895</t>
  </si>
  <si>
    <t>OFF-ST-10003121</t>
  </si>
  <si>
    <t>TEC-PH-10002042</t>
  </si>
  <si>
    <t>FUR-BO-10002510</t>
  </si>
  <si>
    <t>OFF-SU-10003717</t>
  </si>
  <si>
    <t>OFF-SU-10004727</t>
  </si>
  <si>
    <t>TEC-CO-10002316</t>
  </si>
  <si>
    <t>OFF-BI-10000305</t>
  </si>
  <si>
    <t>OFF-FA-10003782</t>
  </si>
  <si>
    <t>OFF-BI-10003779</t>
  </si>
  <si>
    <t>TEC-PH-10004544</t>
  </si>
  <si>
    <t>OFF-PA-10003906</t>
  </si>
  <si>
    <t>FUR-CH-10001415</t>
  </si>
  <si>
    <t>FUR-CH-10001756</t>
  </si>
  <si>
    <t>FUR-CH-10003336</t>
  </si>
  <si>
    <t>OFF-EN-10000454</t>
  </si>
  <si>
    <t>TEC-MA-10002874</t>
  </si>
  <si>
    <t>OFF-SU-10001066</t>
  </si>
  <si>
    <t>FUR-CH-10004863</t>
  </si>
  <si>
    <t>OFF-SU-10000738</t>
  </si>
  <si>
    <t>OFF-LA-10000477</t>
  </si>
  <si>
    <t>OFF-PA-10002974</t>
  </si>
  <si>
    <t>OFF-BI-10003468</t>
  </si>
  <si>
    <t>TEC-AC-10003640</t>
  </si>
  <si>
    <t>OFF-EN-10004486</t>
  </si>
  <si>
    <t>OFF-LA-10004623</t>
  </si>
  <si>
    <t>OFF-EN-10000615</t>
  </si>
  <si>
    <t>TEC-AC-10002568</t>
  </si>
  <si>
    <t>OFF-LA-10003381</t>
  </si>
  <si>
    <t>OFF-BI-10002792</t>
  </si>
  <si>
    <t>OFF-FA-10004705</t>
  </si>
  <si>
    <t>FUR-FU-10004074</t>
  </si>
  <si>
    <t>FUR-CH-10002872</t>
  </si>
  <si>
    <t>FUR-CH-10000694</t>
  </si>
  <si>
    <t>TEC-PH-10004578</t>
  </si>
  <si>
    <t>OFF-EN-10004977</t>
  </si>
  <si>
    <t>TEC-AC-10004306</t>
  </si>
  <si>
    <t>FUR-FU-10004549</t>
  </si>
  <si>
    <t>OFF-BI-10003646</t>
  </si>
  <si>
    <t>FUR-BO-10002031</t>
  </si>
  <si>
    <t>TEC-PH-10004281</t>
  </si>
  <si>
    <t>TEC-AC-10004252</t>
  </si>
  <si>
    <t>TEC-CO-10004929</t>
  </si>
  <si>
    <t>FUR-FU-10002055</t>
  </si>
  <si>
    <t>OFF-SU-10001346</t>
  </si>
  <si>
    <t>FUR-FU-10002829</t>
  </si>
  <si>
    <t>OFF-AP-10002938</t>
  </si>
  <si>
    <t>OFF-FA-10004523</t>
  </si>
  <si>
    <t>FUR-CH-10000825</t>
  </si>
  <si>
    <t>OFF-LA-10000668</t>
  </si>
  <si>
    <t>FUR-FU-10001471</t>
  </si>
  <si>
    <t>OFF-LA-10000615</t>
  </si>
  <si>
    <t>OFF-AR-10000054</t>
  </si>
  <si>
    <t>OFF-FA-10001650</t>
  </si>
  <si>
    <t>FUR-FU-10004704</t>
  </si>
  <si>
    <t>TEC-CO-10000129</t>
  </si>
  <si>
    <t>TEC-PH-10000922</t>
  </si>
  <si>
    <t>FUR-CH-10001207</t>
  </si>
  <si>
    <t>OFF-LA-10001731</t>
  </si>
  <si>
    <t>OFF-ST-10004668</t>
  </si>
  <si>
    <t>OFF-AR-10001073</t>
  </si>
  <si>
    <t>TEC-AC-10003451</t>
  </si>
  <si>
    <t>FUR-TA-10003055</t>
  </si>
  <si>
    <t>OFF-EN-10002425</t>
  </si>
  <si>
    <t>TEC-PH-10003481</t>
  </si>
  <si>
    <t>OFF-ST-10002650</t>
  </si>
  <si>
    <t>FUR-CH-10002209</t>
  </si>
  <si>
    <t>OFF-BI-10002712</t>
  </si>
  <si>
    <t>TEC-AC-10002244</t>
  </si>
  <si>
    <t>FUR-BO-10001874</t>
  </si>
  <si>
    <t>TEC-CO-10000865</t>
  </si>
  <si>
    <t>OFF-SU-10004461</t>
  </si>
  <si>
    <t>FUR-FU-10002928</t>
  </si>
  <si>
    <t>FUR-CH-10002468</t>
  </si>
  <si>
    <t>OFF-AP-10000904</t>
  </si>
  <si>
    <t>OFF-AR-10000851</t>
  </si>
  <si>
    <t>FUR-CH-10004049</t>
  </si>
  <si>
    <t>OFF-BI-10004986</t>
  </si>
  <si>
    <t>FUR-FU-10002598</t>
  </si>
  <si>
    <t>OFF-FA-10002175</t>
  </si>
  <si>
    <t>TEC-CO-10003522</t>
  </si>
  <si>
    <t>OFF-SU-10002547</t>
  </si>
  <si>
    <t>OFF-SU-10001308</t>
  </si>
  <si>
    <t>OFF-PA-10003943</t>
  </si>
  <si>
    <t>FUR-CH-10004600</t>
  </si>
  <si>
    <t>OFF-EN-10000387</t>
  </si>
  <si>
    <t>OFF-AP-10001670</t>
  </si>
  <si>
    <t>OFF-PA-10002416</t>
  </si>
  <si>
    <t>OFF-EN-10000139</t>
  </si>
  <si>
    <t>FUR-CH-10000258</t>
  </si>
  <si>
    <t>TEC-MA-10001607</t>
  </si>
  <si>
    <t>FUR-FU-10002933</t>
  </si>
  <si>
    <t>TEC-CO-10002057</t>
  </si>
  <si>
    <t>TEC-MA-10000572</t>
  </si>
  <si>
    <t>TEC-CO-10003759</t>
  </si>
  <si>
    <t>OFF-AR-10003448</t>
  </si>
  <si>
    <t>FUR-FU-10000069</t>
  </si>
  <si>
    <t>TEC-MA-10004423</t>
  </si>
  <si>
    <t>OFF-EN-10002258</t>
  </si>
  <si>
    <t>TEC-AC-10002833</t>
  </si>
  <si>
    <t>OFF-LA-10002319</t>
  </si>
  <si>
    <t>OFF-PA-10003805</t>
  </si>
  <si>
    <t>FUR-BO-10000071</t>
  </si>
  <si>
    <t>TEC-AC-10003889</t>
  </si>
  <si>
    <t>OFF-SU-10000411</t>
  </si>
  <si>
    <t>TEC-CO-10004263</t>
  </si>
  <si>
    <t>OFF-AR-10001266</t>
  </si>
  <si>
    <t>OFF-AP-10001233</t>
  </si>
  <si>
    <t>OFF-FA-10003615</t>
  </si>
  <si>
    <t>FUR-CH-10000187</t>
  </si>
  <si>
    <t>OFF-BI-10003367</t>
  </si>
  <si>
    <t>OFF-BI-10001400</t>
  </si>
  <si>
    <t>OFF-ST-10003334</t>
  </si>
  <si>
    <t>FUR-TA-10003747</t>
  </si>
  <si>
    <t>OFF-SU-10000970</t>
  </si>
  <si>
    <t>OFF-EN-10004473</t>
  </si>
  <si>
    <t>OFF-SU-10004696</t>
  </si>
  <si>
    <t>FUR-TA-10002797</t>
  </si>
  <si>
    <t>OFF-BI-10004440</t>
  </si>
  <si>
    <t>OFF-BI-10001293</t>
  </si>
  <si>
    <t>FUR-FU-10001410</t>
  </si>
  <si>
    <t>OFF-SU-10004304</t>
  </si>
  <si>
    <t>TEC-MA-10002898</t>
  </si>
  <si>
    <t>OFF-ST-10003295</t>
  </si>
  <si>
    <t>FUR-FU-10001246</t>
  </si>
  <si>
    <t>OFF-BI-10000328</t>
  </si>
  <si>
    <t>OFF-FA-10001621</t>
  </si>
  <si>
    <t>FUR-BO-10002423</t>
  </si>
  <si>
    <t>FUR-FU-10000482</t>
  </si>
  <si>
    <t>TEC-PH-10000030</t>
  </si>
  <si>
    <t>TEC-AC-10004566</t>
  </si>
  <si>
    <t>TEC-AC-10000354</t>
  </si>
  <si>
    <t>OFF-SU-10002448</t>
  </si>
  <si>
    <t>FUR-FU-10004182</t>
  </si>
  <si>
    <t>TEC-MA-10002701</t>
  </si>
  <si>
    <t>OFF-EN-10002472</t>
  </si>
  <si>
    <t>OFF-BI-10001744</t>
  </si>
  <si>
    <t>TEC-CO-10000259</t>
  </si>
  <si>
    <t>FUR-BO-10002390</t>
  </si>
  <si>
    <t>FUR-CH-10003097</t>
  </si>
  <si>
    <t>OFF-EN-10002119</t>
  </si>
  <si>
    <t>OFF-LA-10000658</t>
  </si>
  <si>
    <t>FUR-CH-10004312</t>
  </si>
  <si>
    <t>TEC-CO-10004170</t>
  </si>
  <si>
    <t>FUR-FU-10000256</t>
  </si>
  <si>
    <t>FUR-CH-10001832</t>
  </si>
  <si>
    <t>TEC-AC-10004081</t>
  </si>
  <si>
    <t>FUR-FU-10003012</t>
  </si>
  <si>
    <t>OFF-EN-10004938</t>
  </si>
  <si>
    <t>OFF-SU-10002715</t>
  </si>
  <si>
    <t>OFF-EN-10000657</t>
  </si>
  <si>
    <t>OFF-PA-10003550</t>
  </si>
  <si>
    <t>OFF-AP-10001621</t>
  </si>
  <si>
    <t>FUR-FU-10000918</t>
  </si>
  <si>
    <t>FUR-BO-10002204</t>
  </si>
  <si>
    <t>TEC-PH-10002652</t>
  </si>
  <si>
    <t>TEC-MA-10002998</t>
  </si>
  <si>
    <t>FUR-CH-10001147</t>
  </si>
  <si>
    <t>FUR-FU-10004503</t>
  </si>
  <si>
    <t>OFF-ST-10004608</t>
  </si>
  <si>
    <t>TEC-AC-10000284</t>
  </si>
  <si>
    <t>OFF-AR-10003613</t>
  </si>
  <si>
    <t>OFF-FA-10002569</t>
  </si>
  <si>
    <t>OFF-BI-10001200</t>
  </si>
  <si>
    <t>OFF-SU-10004401</t>
  </si>
  <si>
    <t>FUR-BO-10002285</t>
  </si>
  <si>
    <t>TEC-CO-10001472</t>
  </si>
  <si>
    <t>OFF-FA-10004606</t>
  </si>
  <si>
    <t>FUR-FU-10000628</t>
  </si>
  <si>
    <t>OFF-FA-10002459</t>
  </si>
  <si>
    <t>OFF-FA-10004171</t>
  </si>
  <si>
    <t>TEC-AC-10001703</t>
  </si>
  <si>
    <t>OFF-LA-10001444</t>
  </si>
  <si>
    <t>OFF-FA-10001651</t>
  </si>
  <si>
    <t>FUR-TA-10004342</t>
  </si>
  <si>
    <t>FUR-BO-10002738</t>
  </si>
  <si>
    <t>FUR-CH-10003910</t>
  </si>
  <si>
    <t>TEC-AC-10001987</t>
  </si>
  <si>
    <t>TEC-AC-10002914</t>
  </si>
  <si>
    <t>OFF-EN-10001627</t>
  </si>
  <si>
    <t>OFF-AR-10003875</t>
  </si>
  <si>
    <t>OFF-LA-10002465</t>
  </si>
  <si>
    <t>OFF-ST-10003020</t>
  </si>
  <si>
    <t>TEC-PH-10000365</t>
  </si>
  <si>
    <t>OFF-AR-10004148</t>
  </si>
  <si>
    <t>FUR-FU-10000339</t>
  </si>
  <si>
    <t>OFF-AP-10003866</t>
  </si>
  <si>
    <t>OFF-AR-10003021</t>
  </si>
  <si>
    <t>OFF-LA-10003379</t>
  </si>
  <si>
    <t>TEC-MA-10002827</t>
  </si>
  <si>
    <t>OFF-BI-10004105</t>
  </si>
  <si>
    <t>FUR-TA-10003003</t>
  </si>
  <si>
    <t>FUR-TA-10001113</t>
  </si>
  <si>
    <t>FUR-FU-10002362</t>
  </si>
  <si>
    <t>FUR-BO-10004537</t>
  </si>
  <si>
    <t>TEC-CO-10003570</t>
  </si>
  <si>
    <t>TEC-AC-10000861</t>
  </si>
  <si>
    <t>OFF-PA-10003115</t>
  </si>
  <si>
    <t>OFF-EN-10000776</t>
  </si>
  <si>
    <t>FUR-CH-10000602</t>
  </si>
  <si>
    <t>FUR-CH-10003616</t>
  </si>
  <si>
    <t>TEC-PH-10002991</t>
  </si>
  <si>
    <t>OFF-BI-10001867</t>
  </si>
  <si>
    <t>OFF-AR-10001508</t>
  </si>
  <si>
    <t>OFF-FA-10001521</t>
  </si>
  <si>
    <t>FUR-CH-10003760</t>
  </si>
  <si>
    <t>OFF-EN-10004560</t>
  </si>
  <si>
    <t>FUR-FU-10003855</t>
  </si>
  <si>
    <t>OFF-AR-10002256</t>
  </si>
  <si>
    <t>FUR-FU-10001557</t>
  </si>
  <si>
    <t>TEC-CO-10002108</t>
  </si>
  <si>
    <t>OFF-LA-10001312</t>
  </si>
  <si>
    <t>OFF-AP-10001824</t>
  </si>
  <si>
    <t>TEC-PH-10002104</t>
  </si>
  <si>
    <t>OFF-ST-10002967</t>
  </si>
  <si>
    <t>OFF-AR-10002847</t>
  </si>
  <si>
    <t>TEC-PH-10004559</t>
  </si>
  <si>
    <t>FUR-BO-10003086</t>
  </si>
  <si>
    <t>TEC-MA-10002941</t>
  </si>
  <si>
    <t>TEC-AC-10004897</t>
  </si>
  <si>
    <t>TEC-MA-10001831</t>
  </si>
  <si>
    <t>TEC-MA-10003796</t>
  </si>
  <si>
    <t>OFF-SU-10003723</t>
  </si>
  <si>
    <t>TEC-PH-10000497</t>
  </si>
  <si>
    <t>FUR-FU-10004619</t>
  </si>
  <si>
    <t>OFF-EN-10002434</t>
  </si>
  <si>
    <t>OFF-EN-10003498</t>
  </si>
  <si>
    <t>FUR-CH-10000430</t>
  </si>
  <si>
    <t>OFF-LA-10003678</t>
  </si>
  <si>
    <t>FUR-FU-10001343</t>
  </si>
  <si>
    <t>OFF-EN-10002924</t>
  </si>
  <si>
    <t>TEC-MA-10003631</t>
  </si>
  <si>
    <t>FUR-TA-10002571</t>
  </si>
  <si>
    <t>TEC-PH-10002742</t>
  </si>
  <si>
    <t>FUR-TA-10000360</t>
  </si>
  <si>
    <t>OFF-SU-10004077</t>
  </si>
  <si>
    <t>OFF-AP-10001529</t>
  </si>
  <si>
    <t>OFF-AP-10000490</t>
  </si>
  <si>
    <t>FUR-BO-10001385</t>
  </si>
  <si>
    <t>FUR-FU-10001045</t>
  </si>
  <si>
    <t>OFF-PA-10002514</t>
  </si>
  <si>
    <t>OFF-FA-10004839</t>
  </si>
  <si>
    <t>TEC-CO-10001352</t>
  </si>
  <si>
    <t>TEC-PH-10000824</t>
  </si>
  <si>
    <t>OFF-SU-10000175</t>
  </si>
  <si>
    <t>FUR-FU-10002335</t>
  </si>
  <si>
    <t>OFF-AP-10003945</t>
  </si>
  <si>
    <t>TEC-CO-10004981</t>
  </si>
  <si>
    <t>TEC-CO-10002578</t>
  </si>
  <si>
    <t>FUR-CH-10002743</t>
  </si>
  <si>
    <t>OFF-FA-10003332</t>
  </si>
  <si>
    <t>OFF-AP-10003511</t>
  </si>
  <si>
    <t>TEC-CO-10000565</t>
  </si>
  <si>
    <t>TEC-AC-10002601</t>
  </si>
  <si>
    <t>FUR-BO-10000676</t>
  </si>
  <si>
    <t>TEC-MA-10001811</t>
  </si>
  <si>
    <t>OFF-AP-10004964</t>
  </si>
  <si>
    <t>APAC</t>
  </si>
  <si>
    <t>EU</t>
  </si>
  <si>
    <t>MX-2014-135706</t>
  </si>
  <si>
    <t>MX-2014-120607</t>
  </si>
  <si>
    <t>US-2013-167129</t>
  </si>
  <si>
    <t>MX-2014-142643</t>
  </si>
  <si>
    <t>MX-2011-168662</t>
  </si>
  <si>
    <t>US-2012-104997</t>
  </si>
  <si>
    <t>MX-2012-156720</t>
  </si>
  <si>
    <t>US-2011-119935</t>
  </si>
  <si>
    <t>US-2013-130239</t>
  </si>
  <si>
    <t>MX-2011-105298</t>
  </si>
  <si>
    <t>US-2014-146080</t>
  </si>
  <si>
    <t>MX-2011-127089</t>
  </si>
  <si>
    <t>MX-2011-108077</t>
  </si>
  <si>
    <t>US-2013-151379</t>
  </si>
  <si>
    <t>MX-2014-131366</t>
  </si>
  <si>
    <t>MX-2012-148054</t>
  </si>
  <si>
    <t>MX-2014-139367</t>
  </si>
  <si>
    <t>MX-2012-164777</t>
  </si>
  <si>
    <t>MX-2014-154480</t>
  </si>
  <si>
    <t>MX-2012-133732</t>
  </si>
  <si>
    <t>MX-2013-153094</t>
  </si>
  <si>
    <t>MX-2012-154179</t>
  </si>
  <si>
    <t>MX-2011-132815</t>
  </si>
  <si>
    <t>US-2011-132899</t>
  </si>
  <si>
    <t>MX-2013-115805</t>
  </si>
  <si>
    <t>MX-2013-163797</t>
  </si>
  <si>
    <t>MX-2012-148180</t>
  </si>
  <si>
    <t>MX-2013-107167</t>
  </si>
  <si>
    <t>MX-2012-143826</t>
  </si>
  <si>
    <t>MX-2014-151134</t>
  </si>
  <si>
    <t>US-2014-107524</t>
  </si>
  <si>
    <t>US-2013-162068</t>
  </si>
  <si>
    <t>US-2011-137673</t>
  </si>
  <si>
    <t>MX-2011-108749</t>
  </si>
  <si>
    <t>MX-2014-102995</t>
  </si>
  <si>
    <t>MX-2014-155740</t>
  </si>
  <si>
    <t>MX-2013-118038</t>
  </si>
  <si>
    <t>MX-2014-150868</t>
  </si>
  <si>
    <t>MX-2014-165694</t>
  </si>
  <si>
    <t>MX-2014-165078</t>
  </si>
  <si>
    <t>MX-2014-167493</t>
  </si>
  <si>
    <t>MX-2013-118402</t>
  </si>
  <si>
    <t>MX-2013-117415</t>
  </si>
  <si>
    <t>MX-2012-150910</t>
  </si>
  <si>
    <t>MX-2012-104269</t>
  </si>
  <si>
    <t>MX-2013-169495</t>
  </si>
  <si>
    <t>MX-2012-133480</t>
  </si>
  <si>
    <t>MX-2014-135867</t>
  </si>
  <si>
    <t>MX-2013-111388</t>
  </si>
  <si>
    <t>MX-2013-159114</t>
  </si>
  <si>
    <t>MX-2013-110933</t>
  </si>
  <si>
    <t>MX-2013-168137</t>
  </si>
  <si>
    <t>MX-2013-123386</t>
  </si>
  <si>
    <t>MX-2014-111899</t>
  </si>
  <si>
    <t>MX-2011-128356</t>
  </si>
  <si>
    <t>US-2014-125626</t>
  </si>
  <si>
    <t>MX-2014-145429</t>
  </si>
  <si>
    <t>MX-2012-136042</t>
  </si>
  <si>
    <t>MX-2014-159800</t>
  </si>
  <si>
    <t>MX-2012-119907</t>
  </si>
  <si>
    <t>MX-2014-106978</t>
  </si>
  <si>
    <t>MX-2013-128440</t>
  </si>
  <si>
    <t>MX-2012-105424</t>
  </si>
  <si>
    <t>MX-2013-150140</t>
  </si>
  <si>
    <t>MX-2014-132927</t>
  </si>
  <si>
    <t>MX-2014-160857</t>
  </si>
  <si>
    <t>US-2011-121636</t>
  </si>
  <si>
    <t>MX-2013-137155</t>
  </si>
  <si>
    <t>US-2014-161830</t>
  </si>
  <si>
    <t>MX-2013-110135</t>
  </si>
  <si>
    <t>MX-2013-112956</t>
  </si>
  <si>
    <t>MX-2011-136546</t>
  </si>
  <si>
    <t>US-2011-163860</t>
  </si>
  <si>
    <t>US-2014-123484</t>
  </si>
  <si>
    <t>MX-2014-168536</t>
  </si>
  <si>
    <t>MX-2012-111178</t>
  </si>
  <si>
    <t>US-2013-122917</t>
  </si>
  <si>
    <t>MX-2014-103149</t>
  </si>
  <si>
    <t>MX-2013-110149</t>
  </si>
  <si>
    <t>MX-2013-109771</t>
  </si>
  <si>
    <t>MX-2012-149461</t>
  </si>
  <si>
    <t>MX-2014-169887</t>
  </si>
  <si>
    <t>MX-2013-152912</t>
  </si>
  <si>
    <t>MX-2013-168228</t>
  </si>
  <si>
    <t>MX-2013-121545</t>
  </si>
  <si>
    <t>MX-2013-128027</t>
  </si>
  <si>
    <t>MX-2012-105662</t>
  </si>
  <si>
    <t>MX-2014-114545</t>
  </si>
  <si>
    <t>MX-2013-167213</t>
  </si>
  <si>
    <t>MX-2014-102246</t>
  </si>
  <si>
    <t>MX-2013-159100</t>
  </si>
  <si>
    <t>US-2014-167500</t>
  </si>
  <si>
    <t>MX-2011-124170</t>
  </si>
  <si>
    <t>MX-2014-161578</t>
  </si>
  <si>
    <t>MX-2012-161452</t>
  </si>
  <si>
    <t>MX-2011-122735</t>
  </si>
  <si>
    <t>MX-2013-168123</t>
  </si>
  <si>
    <t>MX-2012-158022</t>
  </si>
  <si>
    <t>MX-2012-101021</t>
  </si>
  <si>
    <t>MX-2013-147844</t>
  </si>
  <si>
    <t>MX-2013-115630</t>
  </si>
  <si>
    <t>MX-2013-137610</t>
  </si>
  <si>
    <t>MX-2013-129588</t>
  </si>
  <si>
    <t>US-2013-108049</t>
  </si>
  <si>
    <t>MX-2013-145107</t>
  </si>
  <si>
    <t>MX-2012-159646</t>
  </si>
  <si>
    <t>MX-2013-147634</t>
  </si>
  <si>
    <t>MX-2013-136224</t>
  </si>
  <si>
    <t>MX-2014-148285</t>
  </si>
  <si>
    <t>MX-2013-148628</t>
  </si>
  <si>
    <t>MX-2014-127733</t>
  </si>
  <si>
    <t>MX-2011-157539</t>
  </si>
  <si>
    <t>MX-2011-156755</t>
  </si>
  <si>
    <t>US-2014-118612</t>
  </si>
  <si>
    <t>MX-2012-112662</t>
  </si>
  <si>
    <t>MX-2012-147977</t>
  </si>
  <si>
    <t>US-2012-157224</t>
  </si>
  <si>
    <t>MX-2012-126606</t>
  </si>
  <si>
    <t>MX-2012-113768</t>
  </si>
  <si>
    <t>US-2013-150980</t>
  </si>
  <si>
    <t>MX-2013-126144</t>
  </si>
  <si>
    <t>MX-2012-133165</t>
  </si>
  <si>
    <t>MX-2011-145870</t>
  </si>
  <si>
    <t>MX-2012-149454</t>
  </si>
  <si>
    <t>MX-2012-106229</t>
  </si>
  <si>
    <t>MX-2011-124688</t>
  </si>
  <si>
    <t>US-2011-104535</t>
  </si>
  <si>
    <t>MX-2012-142090</t>
  </si>
  <si>
    <t>MX-2013-137729</t>
  </si>
  <si>
    <t>MX-2014-103919</t>
  </si>
  <si>
    <t>MX-2014-143595</t>
  </si>
  <si>
    <t>MX-2014-142874</t>
  </si>
  <si>
    <t>US-2011-165316</t>
  </si>
  <si>
    <t>MX-2012-124975</t>
  </si>
  <si>
    <t>MX-2012-111430</t>
  </si>
  <si>
    <t>MX-2011-133564</t>
  </si>
  <si>
    <t>MX-2011-155159</t>
  </si>
  <si>
    <t>MX-2013-121160</t>
  </si>
  <si>
    <t>MX-2013-115434</t>
  </si>
  <si>
    <t>MX-2014-111633</t>
  </si>
  <si>
    <t>MX-2014-156615</t>
  </si>
  <si>
    <t>MX-2013-101455</t>
  </si>
  <si>
    <t>MX-2013-111073</t>
  </si>
  <si>
    <t>MX-2013-160948</t>
  </si>
  <si>
    <t>US-2014-143441</t>
  </si>
  <si>
    <t>US-2014-159485</t>
  </si>
  <si>
    <t>MX-2014-126298</t>
  </si>
  <si>
    <t>MX-2013-167913</t>
  </si>
  <si>
    <t>MX-2013-153920</t>
  </si>
  <si>
    <t>MX-2011-131478</t>
  </si>
  <si>
    <t>MX-2014-165575</t>
  </si>
  <si>
    <t>MX-2013-103492</t>
  </si>
  <si>
    <t>MX-2011-147816</t>
  </si>
  <si>
    <t>MX-2011-136602</t>
  </si>
  <si>
    <t>MX-2012-153325</t>
  </si>
  <si>
    <t>MX-2013-135916</t>
  </si>
  <si>
    <t>MX-2011-116218</t>
  </si>
  <si>
    <t>MX-2014-149881</t>
  </si>
  <si>
    <t>US-2014-152744</t>
  </si>
  <si>
    <t>MX-2014-158589</t>
  </si>
  <si>
    <t>US-2012-169712</t>
  </si>
  <si>
    <t>US-2013-158190</t>
  </si>
  <si>
    <t>MX-2013-141901</t>
  </si>
  <si>
    <t>MX-2012-134446</t>
  </si>
  <si>
    <t>MX-2012-115945</t>
  </si>
  <si>
    <t>MX-2012-143175</t>
  </si>
  <si>
    <t>MX-2013-111010</t>
  </si>
  <si>
    <t>MX-2011-138716</t>
  </si>
  <si>
    <t>MX-2014-141922</t>
  </si>
  <si>
    <t>MX-2013-116946</t>
  </si>
  <si>
    <t>MX-2014-154571</t>
  </si>
  <si>
    <t>MX-2014-108973</t>
  </si>
  <si>
    <t>MX-2014-103478</t>
  </si>
  <si>
    <t>US-2012-115196</t>
  </si>
  <si>
    <t>MX-2014-135328</t>
  </si>
  <si>
    <t>MX-2012-160388</t>
  </si>
  <si>
    <t>US-2011-156034</t>
  </si>
  <si>
    <t>US-2012-154550</t>
  </si>
  <si>
    <t>MX-2013-131660</t>
  </si>
  <si>
    <t>US-2012-155831</t>
  </si>
  <si>
    <t>US-2011-158442</t>
  </si>
  <si>
    <t>MX-2013-117856</t>
  </si>
  <si>
    <t>MX-2012-161704</t>
  </si>
  <si>
    <t>MX-2012-104423</t>
  </si>
  <si>
    <t>MX-2014-130309</t>
  </si>
  <si>
    <t>US-2013-159660</t>
  </si>
  <si>
    <t>MX-2014-117240</t>
  </si>
  <si>
    <t>MX-2014-104122</t>
  </si>
  <si>
    <t>MX-2011-127670</t>
  </si>
  <si>
    <t>MX-2014-117744</t>
  </si>
  <si>
    <t>US-2012-113754</t>
  </si>
  <si>
    <t>MX-2013-134831</t>
  </si>
  <si>
    <t>MX-2014-142244</t>
  </si>
  <si>
    <t>MX-2011-131688</t>
  </si>
  <si>
    <t>MX-2014-142601</t>
  </si>
  <si>
    <t>MX-2013-101210</t>
  </si>
  <si>
    <t>MX-2014-167115</t>
  </si>
  <si>
    <t>US-2014-169852</t>
  </si>
  <si>
    <t>MX-2011-121671</t>
  </si>
  <si>
    <t>MX-2013-141159</t>
  </si>
  <si>
    <t>MX-2013-152814</t>
  </si>
  <si>
    <t>MX-2013-168739</t>
  </si>
  <si>
    <t>MX-2011-157000</t>
  </si>
  <si>
    <t>MX-2011-133627</t>
  </si>
  <si>
    <t>MX-2011-141467</t>
  </si>
  <si>
    <t>MX-2014-100895</t>
  </si>
  <si>
    <t>MX-2012-113817</t>
  </si>
  <si>
    <t>MX-2012-151904</t>
  </si>
  <si>
    <t>MX-2012-128363</t>
  </si>
  <si>
    <t>MX-2012-125283</t>
  </si>
  <si>
    <t>MX-2014-114783</t>
  </si>
  <si>
    <t>MX-2014-138233</t>
  </si>
  <si>
    <t>US-2013-163223</t>
  </si>
  <si>
    <t>MX-2011-108560</t>
  </si>
  <si>
    <t>MX-2011-101518</t>
  </si>
  <si>
    <t>MX-2013-146073</t>
  </si>
  <si>
    <t>US-2011-149069</t>
  </si>
  <si>
    <t>MX-2013-101077</t>
  </si>
  <si>
    <t>MX-2014-131268</t>
  </si>
  <si>
    <t>MX-2014-162075</t>
  </si>
  <si>
    <t>MX-2011-146479</t>
  </si>
  <si>
    <t>MX-2013-131247</t>
  </si>
  <si>
    <t>MX-2011-155572</t>
  </si>
  <si>
    <t>MX-2012-142664</t>
  </si>
  <si>
    <t>MX-2014-112585</t>
  </si>
  <si>
    <t>US-2011-144673</t>
  </si>
  <si>
    <t>MX-2014-147599</t>
  </si>
  <si>
    <t>US-2014-104010</t>
  </si>
  <si>
    <t>US-2014-142706</t>
  </si>
  <si>
    <t>MX-2011-144827</t>
  </si>
  <si>
    <t>MX-2012-115070</t>
  </si>
  <si>
    <t>MX-2012-159674</t>
  </si>
  <si>
    <t>MX-2011-142545</t>
  </si>
  <si>
    <t>MX-2013-134194</t>
  </si>
  <si>
    <t>MX-2012-133942</t>
  </si>
  <si>
    <t>MX-2014-134222</t>
  </si>
  <si>
    <t>MX-2011-115490</t>
  </si>
  <si>
    <t>US-2011-167787</t>
  </si>
  <si>
    <t>MX-2014-114601</t>
  </si>
  <si>
    <t>MX-2012-125808</t>
  </si>
  <si>
    <t>MX-2012-149832</t>
  </si>
  <si>
    <t>MX-2011-120719</t>
  </si>
  <si>
    <t>MX-2012-148586</t>
  </si>
  <si>
    <t>MX-2014-130694</t>
  </si>
  <si>
    <t>MX-2014-125332</t>
  </si>
  <si>
    <t>MX-2011-114685</t>
  </si>
  <si>
    <t>MX-2011-147039</t>
  </si>
  <si>
    <t>US-2013-152667</t>
  </si>
  <si>
    <t>US-2012-108917</t>
  </si>
  <si>
    <t>MX-2011-126592</t>
  </si>
  <si>
    <t>MX-2012-160612</t>
  </si>
  <si>
    <t>MX-2013-125696</t>
  </si>
  <si>
    <t>MX-2011-145884</t>
  </si>
  <si>
    <t>MX-2014-162355</t>
  </si>
  <si>
    <t>MX-2013-133690</t>
  </si>
  <si>
    <t>MX-2014-139591</t>
  </si>
  <si>
    <t>US-2012-106551</t>
  </si>
  <si>
    <t>MX-2013-133074</t>
  </si>
  <si>
    <t>US-2014-103170</t>
  </si>
  <si>
    <t>MX-2013-139948</t>
  </si>
  <si>
    <t>MX-2013-143301</t>
  </si>
  <si>
    <t>US-2014-167178</t>
  </si>
  <si>
    <t>MX-2012-129560</t>
  </si>
  <si>
    <t>US-2011-125395</t>
  </si>
  <si>
    <t>MX-2012-166730</t>
  </si>
  <si>
    <t>MX-2014-148509</t>
  </si>
  <si>
    <t>MX-2013-111500</t>
  </si>
  <si>
    <t>MX-2014-126165</t>
  </si>
  <si>
    <t>MX-2014-164434</t>
  </si>
  <si>
    <t>MX-2012-101854</t>
  </si>
  <si>
    <t>MX-2012-154088</t>
  </si>
  <si>
    <t>MX-2011-119977</t>
  </si>
  <si>
    <t>MX-2011-106390</t>
  </si>
  <si>
    <t>MX-2012-109134</t>
  </si>
  <si>
    <t>MX-2014-166814</t>
  </si>
  <si>
    <t>MX-2014-107279</t>
  </si>
  <si>
    <t>MX-2011-162488</t>
  </si>
  <si>
    <t>MX-2014-125661</t>
  </si>
  <si>
    <t>MX-2011-169467</t>
  </si>
  <si>
    <t>MX-2014-126221</t>
  </si>
  <si>
    <t>MX-2012-122553</t>
  </si>
  <si>
    <t>MX-2013-131142</t>
  </si>
  <si>
    <t>US-2012-112004</t>
  </si>
  <si>
    <t>US-2012-148880</t>
  </si>
  <si>
    <t>MX-2013-157007</t>
  </si>
  <si>
    <t>MX-2012-152905</t>
  </si>
  <si>
    <t>MX-2014-121377</t>
  </si>
  <si>
    <t>MX-2013-119879</t>
  </si>
  <si>
    <t>MX-2013-110828</t>
  </si>
  <si>
    <t>MX-2014-105641</t>
  </si>
  <si>
    <t>US-2013-164077</t>
  </si>
  <si>
    <t>US-2014-160745</t>
  </si>
  <si>
    <t>US-2012-146801</t>
  </si>
  <si>
    <t>US-2013-167850</t>
  </si>
  <si>
    <t>US-2013-151841</t>
  </si>
  <si>
    <t>LATAM</t>
  </si>
  <si>
    <t>Segment</t>
  </si>
  <si>
    <t>Row Labels</t>
  </si>
  <si>
    <t>Grand Total</t>
  </si>
  <si>
    <t>Sum of Sales</t>
  </si>
  <si>
    <t>Sum of Profit</t>
  </si>
  <si>
    <t>Sum of Profit Margin</t>
  </si>
  <si>
    <t>Achieved</t>
  </si>
  <si>
    <t>Remaining</t>
  </si>
  <si>
    <t>Percentage of Remaining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</si>
</sst>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quot;₱&quot;* #,##0.00_-;_-&quot;₱&quot;* &quot;-&quot;??_-;_-@_-"/>
    <numFmt numFmtId="164" formatCode="_(* #,##0.00_);_(* \(#,##0.00\);_(* &quot;-&quot;??_);_(@_)"/>
  </numFmts>
  <fonts count="5" x14ac:knownFonts="1">
    <font>
      <sz val="12"/>
      <color theme="1"/>
      <name val="Calibri"/>
      <family val="2"/>
      <scheme val="minor"/>
    </font>
    <font>
      <sz val="8"/>
      <name val="Calibri"/>
      <family val="2"/>
    </font>
    <font>
      <sz val="12"/>
      <color theme="1"/>
      <name val="Calibri"/>
      <family val="2"/>
      <scheme val="minor"/>
    </font>
    <font>
      <sz val="12"/>
      <color rgb="FF000000"/>
      <name val="Calibri"/>
      <family val="2"/>
      <scheme val="minor"/>
    </font>
    <font>
      <sz val="12"/>
      <color theme="0"/>
      <name val="Calibri"/>
      <family val="2"/>
      <scheme val="minor"/>
    </font>
  </fonts>
  <fills count="5">
    <fill>
      <patternFill patternType="none"/>
    </fill>
    <fill>
      <patternFill patternType="gray125"/>
    </fill>
    <fill>
      <patternFill patternType="solid">
        <fgColor theme="3" tint="-0.249977111117893"/>
        <bgColor indexed="64"/>
      </patternFill>
    </fill>
    <fill>
      <patternFill patternType="solid">
        <fgColor theme="4" tint="-0.249977111117893"/>
        <bgColor indexed="64"/>
      </patternFill>
    </fill>
    <fill>
      <patternFill patternType="solid">
        <fgColor theme="4"/>
        <bgColor indexed="64"/>
      </patternFill>
    </fill>
  </fills>
  <borders count="2">
    <border>
      <left/>
      <right/>
      <top/>
      <bottom/>
      <diagonal/>
    </border>
    <border>
      <left/>
      <right/>
      <top style="thin">
        <color rgb="FFEBF1DE"/>
      </top>
      <bottom style="thin">
        <color rgb="FFEBF1DE"/>
      </bottom>
      <diagonal/>
    </border>
  </borders>
  <cellStyleXfs count="4">
    <xf numFmtId="0" fontId="0" fillId="0" borderId="0"/>
    <xf numFmtId="164"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cellStyleXfs>
  <cellXfs count="23">
    <xf numFmtId="0" fontId="0" fillId="0" borderId="0" xfId="0"/>
    <xf numFmtId="14" fontId="0" fillId="0" borderId="0" xfId="0" applyNumberFormat="1"/>
    <xf numFmtId="0" fontId="3" fillId="0" borderId="1" xfId="0" applyFont="1" applyBorder="1" applyAlignment="1">
      <alignment horizontal="left"/>
    </xf>
    <xf numFmtId="164" fontId="2" fillId="0" borderId="0" xfId="1" applyFont="1" applyFill="1"/>
    <xf numFmtId="0" fontId="3" fillId="0" borderId="0" xfId="0" applyFont="1" applyAlignment="1">
      <alignment horizontal="left"/>
    </xf>
    <xf numFmtId="0" fontId="0" fillId="0" borderId="1" xfId="0" applyBorder="1"/>
    <xf numFmtId="0" fontId="0" fillId="0" borderId="0" xfId="0" applyAlignment="1">
      <alignment horizontal="left"/>
    </xf>
    <xf numFmtId="0" fontId="0" fillId="0" borderId="0" xfId="0" applyAlignment="1">
      <alignment horizontal="left" indent="2"/>
    </xf>
    <xf numFmtId="0" fontId="0" fillId="0" borderId="0" xfId="0" applyAlignment="1">
      <alignment horizontal="left" indent="3"/>
    </xf>
    <xf numFmtId="10" fontId="0" fillId="0" borderId="0" xfId="0" applyNumberFormat="1"/>
    <xf numFmtId="0" fontId="0" fillId="2" borderId="0" xfId="0" applyFill="1"/>
    <xf numFmtId="0" fontId="0" fillId="3" borderId="0" xfId="0" applyFill="1" applyAlignment="1">
      <alignment horizontal="left"/>
    </xf>
    <xf numFmtId="0" fontId="4" fillId="4" borderId="0" xfId="0" applyFont="1" applyFill="1" applyAlignment="1">
      <alignment horizontal="left" indent="1"/>
    </xf>
    <xf numFmtId="0" fontId="4" fillId="2" borderId="0" xfId="0" applyFont="1" applyFill="1"/>
    <xf numFmtId="10" fontId="0" fillId="2" borderId="0" xfId="0" applyNumberFormat="1" applyFill="1"/>
    <xf numFmtId="10" fontId="0" fillId="3" borderId="0" xfId="0" applyNumberFormat="1" applyFill="1"/>
    <xf numFmtId="10" fontId="4" fillId="4" borderId="0" xfId="0" applyNumberFormat="1" applyFont="1" applyFill="1"/>
    <xf numFmtId="10" fontId="4" fillId="3" borderId="0" xfId="3" applyNumberFormat="1" applyFont="1" applyFill="1"/>
    <xf numFmtId="44" fontId="0" fillId="3" borderId="0" xfId="0" applyNumberFormat="1" applyFill="1"/>
    <xf numFmtId="44" fontId="4" fillId="4" borderId="0" xfId="0" applyNumberFormat="1" applyFont="1" applyFill="1"/>
    <xf numFmtId="44" fontId="0" fillId="0" borderId="0" xfId="0" applyNumberFormat="1"/>
    <xf numFmtId="44" fontId="4" fillId="3" borderId="0" xfId="2" applyFont="1" applyFill="1"/>
    <xf numFmtId="2" fontId="0" fillId="0" borderId="0" xfId="0" applyNumberFormat="1"/>
  </cellXfs>
  <cellStyles count="4">
    <cellStyle name="Comma" xfId="1" builtinId="3"/>
    <cellStyle name="Currency" xfId="2" builtinId="4"/>
    <cellStyle name="Normal" xfId="0" builtinId="0"/>
    <cellStyle name="Percent" xfId="3" builtinId="5"/>
  </cellStyles>
  <dxfs count="60">
    <dxf>
      <font>
        <b val="0"/>
        <i val="0"/>
        <strike val="0"/>
        <condense val="0"/>
        <extend val="0"/>
        <outline val="0"/>
        <shadow val="0"/>
        <u val="none"/>
        <vertAlign val="baseline"/>
        <sz val="12"/>
        <color theme="1"/>
        <name val="Calibri"/>
        <family val="2"/>
        <scheme val="minor"/>
      </font>
      <fill>
        <patternFill patternType="none">
          <fgColor indexed="64"/>
          <bgColor indexed="65"/>
        </patternFill>
      </fil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4" formatCode="_-&quot;₱&quot;* #,##0.00_-;\-&quot;₱&quot;* #,##0.00_-;_-&quot;₱&quot;* &quot;-&quot;??_-;_-@_-"/>
    </dxf>
    <dxf>
      <numFmt numFmtId="14" formatCode="0.00%"/>
    </dxf>
    <dxf>
      <numFmt numFmtId="14" formatCode="0.00%"/>
    </dxf>
    <dxf>
      <font>
        <color theme="0"/>
      </font>
    </dxf>
    <dxf>
      <fill>
        <patternFill patternType="solid">
          <bgColor theme="4"/>
        </patternFill>
      </fill>
    </dxf>
    <dxf>
      <font>
        <color theme="0"/>
      </font>
    </dxf>
    <dxf>
      <font>
        <color theme="0"/>
      </font>
    </dxf>
    <dxf>
      <fill>
        <patternFill patternType="solid">
          <bgColor theme="4"/>
        </patternFill>
      </fill>
    </dxf>
    <dxf>
      <fill>
        <patternFill patternType="solid">
          <bgColor theme="4"/>
        </patternFill>
      </fill>
    </dxf>
    <dxf>
      <font>
        <color theme="0"/>
      </font>
    </dxf>
    <dxf>
      <font>
        <color theme="0"/>
      </font>
    </dxf>
    <dxf>
      <fill>
        <patternFill patternType="solid">
          <bgColor theme="4"/>
        </patternFill>
      </fill>
    </dxf>
    <dxf>
      <fill>
        <patternFill patternType="solid">
          <bgColor theme="4"/>
        </patternFill>
      </fill>
    </dxf>
    <dxf>
      <fill>
        <patternFill patternType="solid">
          <bgColor theme="4" tint="-0.249977111117893"/>
        </patternFill>
      </fill>
    </dxf>
    <dxf>
      <fill>
        <patternFill patternType="solid">
          <bgColor theme="4" tint="-0.249977111117893"/>
        </patternFill>
      </fill>
    </dxf>
    <dxf>
      <fill>
        <patternFill patternType="solid">
          <bgColor theme="3" tint="-0.249977111117893"/>
        </patternFill>
      </fill>
    </dxf>
    <dxf>
      <fill>
        <patternFill patternType="solid">
          <bgColor theme="3" tint="-0.249977111117893"/>
        </patternFill>
      </fill>
    </dxf>
    <dxf>
      <numFmt numFmtId="13" formatCode="0%"/>
    </dxf>
    <dxf>
      <font>
        <b/>
        <i val="0"/>
        <color theme="0"/>
      </font>
      <fill>
        <patternFill>
          <bgColor theme="4" tint="-0.24994659260841701"/>
        </patternFill>
      </fill>
    </dxf>
    <dxf>
      <font>
        <color theme="0"/>
      </font>
      <fill>
        <patternFill>
          <bgColor theme="3" tint="-0.24994659260841701"/>
        </patternFill>
      </fill>
      <border>
        <left style="thin">
          <color theme="0"/>
        </left>
        <right style="thin">
          <color theme="0"/>
        </right>
        <top style="thin">
          <color theme="0"/>
        </top>
        <bottom style="thin">
          <color theme="0"/>
        </bottom>
      </border>
    </dxf>
    <dxf>
      <fill>
        <patternFill>
          <bgColor rgb="FF00194C"/>
        </patternFill>
      </fill>
    </dxf>
  </dxfs>
  <tableStyles count="2" defaultTableStyle="TableStyleMedium9" defaultPivotStyle="PivotStyleMedium4">
    <tableStyle name="Slicer Style 1" pivot="0" table="0" count="2" xr9:uid="{8794459A-1D63-47F5-91BB-37D3C25A5574}">
      <tableStyleElement type="wholeTable" dxfId="59"/>
    </tableStyle>
    <tableStyle name="Slicer Style 2" pivot="0" table="0" count="7" xr9:uid="{B8303402-0DAE-4AC2-BFED-9766A082A22D}">
      <tableStyleElement type="wholeTable" dxfId="58"/>
      <tableStyleElement type="headerRow" dxfId="57"/>
    </tableStyle>
  </tableStyles>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1B2A4A"/>
      <color rgb="FF1F497D"/>
      <color rgb="FF00194C"/>
      <color rgb="FF002A7E"/>
      <color rgb="FF1565C0"/>
      <color rgb="FF0D1B2A"/>
      <color rgb="FF0D3B47"/>
      <color rgb="FFBCBCBC"/>
      <color rgb="FF000818"/>
    </mruColors>
  </colors>
  <extLst>
    <ext xmlns:x14="http://schemas.microsoft.com/office/spreadsheetml/2009/9/main" uri="{46F421CA-312F-682f-3DD2-61675219B42D}">
      <x14:dxfs count="6">
        <dxf>
          <fill>
            <patternFill>
              <bgColor theme="4"/>
            </patternFill>
          </fill>
        </dxf>
        <dxf>
          <fill>
            <patternFill>
              <bgColor theme="4"/>
            </patternFill>
          </fill>
        </dxf>
        <dxf>
          <font>
            <color theme="0"/>
          </font>
          <fill>
            <patternFill>
              <bgColor theme="4"/>
            </patternFill>
          </fill>
        </dxf>
        <dxf>
          <fill>
            <patternFill>
              <bgColor theme="1" tint="0.499984740745262"/>
            </patternFill>
          </fill>
        </dxf>
        <dxf>
          <font>
            <color theme="0"/>
          </font>
          <fill>
            <patternFill>
              <bgColor theme="1" tint="0.499984740745262"/>
            </patternFill>
          </fill>
        </dxf>
        <dxf>
          <fill>
            <patternFill>
              <bgColor rgb="FF002060"/>
            </patternFill>
          </fill>
        </dxf>
      </x14:dxfs>
    </ext>
    <ext xmlns:x14="http://schemas.microsoft.com/office/spreadsheetml/2009/9/main" uri="{EB79DEF2-80B8-43e5-95BD-54CBDDF9020C}">
      <x14:slicerStyles defaultSlicerStyle="Slicer Style 2">
        <x14:slicerStyle name="Slicer Style 1">
          <x14:slicerStyleElements>
            <x14:slicerStyleElement type="hoveredUnselectedItemWithData" dxfId="5"/>
          </x14:slicerStyleElements>
        </x14:slicerStyle>
        <x14:slicerStyle name="Slicer Style 2">
          <x14:slicerStyleElements>
            <x14:slicerStyleElement type="unselectedItemWithData" dxfId="4"/>
            <x14:slicerStyleElement type="unselectedItemWithNo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externalLink" Target="externalLinks/externalLink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875182963804191"/>
          <c:y val="9.3467993529377777E-2"/>
          <c:w val="0.55761939374889491"/>
          <c:h val="0.70727248897024197"/>
        </c:manualLayout>
      </c:layout>
      <c:doughnutChart>
        <c:varyColors val="1"/>
        <c:ser>
          <c:idx val="0"/>
          <c:order val="0"/>
          <c:spPr>
            <a:solidFill>
              <a:srgbClr val="002060"/>
            </a:solidFill>
          </c:spPr>
          <c:dPt>
            <c:idx val="0"/>
            <c:bubble3D val="0"/>
            <c:spPr>
              <a:solidFill>
                <a:schemeClr val="accent1"/>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9FB-4DD1-B716-25DE6E557F05}"/>
              </c:ext>
            </c:extLst>
          </c:dPt>
          <c:dPt>
            <c:idx val="1"/>
            <c:bubble3D val="0"/>
            <c:spPr>
              <a:solidFill>
                <a:schemeClr val="tx1">
                  <a:lumMod val="50000"/>
                  <a:lumOff val="50000"/>
                </a:schemeClr>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9FB-4DD1-B716-25DE6E557F05}"/>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'Sales Dashboard'!$E$3:$F$3</c:f>
              <c:strCache>
                <c:ptCount val="2"/>
                <c:pt idx="0">
                  <c:v>Achieved</c:v>
                </c:pt>
                <c:pt idx="1">
                  <c:v>Remaining</c:v>
                </c:pt>
              </c:strCache>
            </c:strRef>
          </c:cat>
          <c:val>
            <c:numRef>
              <c:f>'Sales Dashboard'!$E$4:$F$4</c:f>
              <c:numCache>
                <c:formatCode>_("₱"* #,##0.00_);_("₱"* \(#,##0.00\);_("₱"* "-"??_);_(@_)</c:formatCode>
                <c:ptCount val="2"/>
                <c:pt idx="0">
                  <c:v>67912.727999999988</c:v>
                </c:pt>
                <c:pt idx="1">
                  <c:v>32087.272000000012</c:v>
                </c:pt>
              </c:numCache>
            </c:numRef>
          </c:val>
          <c:extLst>
            <c:ext xmlns:c16="http://schemas.microsoft.com/office/drawing/2014/chart" uri="{C3380CC4-5D6E-409C-BE32-E72D297353CC}">
              <c16:uniqueId val="{00000000-49FB-4DD1-B716-25DE6E557F0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27031627341437575"/>
          <c:y val="0.81266778361931158"/>
          <c:w val="0.46244682986812552"/>
          <c:h val="0.1844830090294973"/>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498909</xdr:colOff>
      <xdr:row>5</xdr:row>
      <xdr:rowOff>10366</xdr:rowOff>
    </xdr:from>
    <xdr:to>
      <xdr:col>11</xdr:col>
      <xdr:colOff>117930</xdr:colOff>
      <xdr:row>30</xdr:row>
      <xdr:rowOff>72571</xdr:rowOff>
    </xdr:to>
    <xdr:sp macro="" textlink="">
      <xdr:nvSpPr>
        <xdr:cNvPr id="10" name="Rectangle 9">
          <a:extLst>
            <a:ext uri="{FF2B5EF4-FFF2-40B4-BE49-F238E27FC236}">
              <a16:creationId xmlns:a16="http://schemas.microsoft.com/office/drawing/2014/main" id="{A135DAAD-9483-52FC-96DB-DA556E4D404D}"/>
            </a:ext>
          </a:extLst>
        </xdr:cNvPr>
        <xdr:cNvSpPr/>
      </xdr:nvSpPr>
      <xdr:spPr>
        <a:xfrm>
          <a:off x="5714980" y="1008223"/>
          <a:ext cx="7356950" cy="5051491"/>
        </a:xfrm>
        <a:prstGeom prst="rect">
          <a:avLst/>
        </a:prstGeom>
        <a:solidFill>
          <a:schemeClr val="tx2">
            <a:lumMod val="50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PH" sz="1100"/>
        </a:p>
      </xdr:txBody>
    </xdr:sp>
    <xdr:clientData/>
  </xdr:twoCellAnchor>
  <xdr:twoCellAnchor editAs="oneCell">
    <xdr:from>
      <xdr:col>4</xdr:col>
      <xdr:colOff>712217</xdr:colOff>
      <xdr:row>9</xdr:row>
      <xdr:rowOff>22519</xdr:rowOff>
    </xdr:from>
    <xdr:to>
      <xdr:col>6</xdr:col>
      <xdr:colOff>464855</xdr:colOff>
      <xdr:row>15</xdr:row>
      <xdr:rowOff>98274</xdr:rowOff>
    </xdr:to>
    <mc:AlternateContent xmlns:mc="http://schemas.openxmlformats.org/markup-compatibility/2006" xmlns:a14="http://schemas.microsoft.com/office/drawing/2010/main">
      <mc:Choice Requires="a14">
        <xdr:graphicFrame macro="">
          <xdr:nvGraphicFramePr>
            <xdr:cNvPr id="5" name="Segment">
              <a:extLst>
                <a:ext uri="{FF2B5EF4-FFF2-40B4-BE49-F238E27FC236}">
                  <a16:creationId xmlns:a16="http://schemas.microsoft.com/office/drawing/2014/main" id="{87DBDBCB-9754-3B46-D8AA-8334FA891407}"/>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5771397" y="1849445"/>
              <a:ext cx="1813786" cy="1293706"/>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725370</xdr:colOff>
      <xdr:row>15</xdr:row>
      <xdr:rowOff>181611</xdr:rowOff>
    </xdr:from>
    <xdr:to>
      <xdr:col>6</xdr:col>
      <xdr:colOff>473673</xdr:colOff>
      <xdr:row>29</xdr:row>
      <xdr:rowOff>70546</xdr:rowOff>
    </xdr:to>
    <mc:AlternateContent xmlns:mc="http://schemas.openxmlformats.org/markup-compatibility/2006" xmlns:a14="http://schemas.microsoft.com/office/drawing/2010/main">
      <mc:Choice Requires="a14">
        <xdr:graphicFrame macro="">
          <xdr:nvGraphicFramePr>
            <xdr:cNvPr id="6" name="City">
              <a:extLst>
                <a:ext uri="{FF2B5EF4-FFF2-40B4-BE49-F238E27FC236}">
                  <a16:creationId xmlns:a16="http://schemas.microsoft.com/office/drawing/2014/main" id="{50D00561-9DC4-945B-49A7-7FB0A4CC5AEA}"/>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5784550" y="3226488"/>
              <a:ext cx="1809451" cy="273082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645948</xdr:colOff>
      <xdr:row>9</xdr:row>
      <xdr:rowOff>20905</xdr:rowOff>
    </xdr:from>
    <xdr:to>
      <xdr:col>10</xdr:col>
      <xdr:colOff>1196817</xdr:colOff>
      <xdr:row>29</xdr:row>
      <xdr:rowOff>78976</xdr:rowOff>
    </xdr:to>
    <xdr:graphicFrame macro="">
      <xdr:nvGraphicFramePr>
        <xdr:cNvPr id="8" name="Chart 7">
          <a:extLst>
            <a:ext uri="{FF2B5EF4-FFF2-40B4-BE49-F238E27FC236}">
              <a16:creationId xmlns:a16="http://schemas.microsoft.com/office/drawing/2014/main" id="{70E4B996-BC37-22C7-DA8D-25D32E1CF0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7</xdr:col>
      <xdr:colOff>1158354</xdr:colOff>
      <xdr:row>16</xdr:row>
      <xdr:rowOff>136097</xdr:rowOff>
    </xdr:from>
    <xdr:ext cx="1257119" cy="393441"/>
    <xdr:sp macro="" textlink="G4">
      <xdr:nvSpPr>
        <xdr:cNvPr id="9" name="TextBox 8">
          <a:extLst>
            <a:ext uri="{FF2B5EF4-FFF2-40B4-BE49-F238E27FC236}">
              <a16:creationId xmlns:a16="http://schemas.microsoft.com/office/drawing/2014/main" id="{5C7D2863-42BF-97EE-71E3-9565F35D086D}"/>
            </a:ext>
          </a:extLst>
        </xdr:cNvPr>
        <xdr:cNvSpPr txBox="1"/>
      </xdr:nvSpPr>
      <xdr:spPr>
        <a:xfrm>
          <a:off x="10806257" y="3331581"/>
          <a:ext cx="1257119" cy="3934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471B8FF0-32F4-45D3-A0F7-013BBBC79982}" type="TxLink">
            <a:rPr lang="en-US" sz="2800" b="1" i="0" u="none" strike="noStrike">
              <a:solidFill>
                <a:schemeClr val="tx2">
                  <a:lumMod val="60000"/>
                  <a:lumOff val="40000"/>
                </a:schemeClr>
              </a:solidFill>
              <a:latin typeface="Calibri"/>
              <a:ea typeface="Calibri"/>
              <a:cs typeface="Calibri"/>
            </a:rPr>
            <a:pPr/>
            <a:t>67.91%</a:t>
          </a:fld>
          <a:endParaRPr lang="en-PH" sz="2400" b="1">
            <a:solidFill>
              <a:schemeClr val="tx2">
                <a:lumMod val="60000"/>
                <a:lumOff val="40000"/>
              </a:schemeClr>
            </a:solidFill>
          </a:endParaRPr>
        </a:p>
      </xdr:txBody>
    </xdr:sp>
    <xdr:clientData/>
  </xdr:oneCellAnchor>
  <xdr:twoCellAnchor>
    <xdr:from>
      <xdr:col>4</xdr:col>
      <xdr:colOff>711835</xdr:colOff>
      <xdr:row>6</xdr:row>
      <xdr:rowOff>52917</xdr:rowOff>
    </xdr:from>
    <xdr:to>
      <xdr:col>10</xdr:col>
      <xdr:colOff>1179287</xdr:colOff>
      <xdr:row>8</xdr:row>
      <xdr:rowOff>39688</xdr:rowOff>
    </xdr:to>
    <xdr:sp macro="" textlink="">
      <xdr:nvSpPr>
        <xdr:cNvPr id="11" name="TextBox 10">
          <a:extLst>
            <a:ext uri="{FF2B5EF4-FFF2-40B4-BE49-F238E27FC236}">
              <a16:creationId xmlns:a16="http://schemas.microsoft.com/office/drawing/2014/main" id="{8CB53F4F-5889-0D5C-3199-1A56086EB21C}"/>
            </a:ext>
          </a:extLst>
        </xdr:cNvPr>
        <xdr:cNvSpPr txBox="1"/>
      </xdr:nvSpPr>
      <xdr:spPr>
        <a:xfrm>
          <a:off x="5927906" y="1250346"/>
          <a:ext cx="6944452" cy="385913"/>
        </a:xfrm>
        <a:prstGeom prst="rect">
          <a:avLst/>
        </a:prstGeom>
        <a:solidFill>
          <a:schemeClr val="accent1">
            <a:lumMod val="75000"/>
          </a:schemeClr>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PH" sz="1800" b="1">
              <a:solidFill>
                <a:schemeClr val="bg1"/>
              </a:solidFill>
            </a:rPr>
            <a:t>GLOBAL SUPERSTORE PH SALES</a:t>
          </a:r>
          <a:r>
            <a:rPr lang="en-PH" sz="1800" b="1" baseline="0">
              <a:solidFill>
                <a:schemeClr val="bg1"/>
              </a:solidFill>
            </a:rPr>
            <a:t> - TECHNOLOGY PROGRESS CHART</a:t>
          </a:r>
          <a:endParaRPr lang="en-PH" sz="1800" b="1">
            <a:solidFill>
              <a:schemeClr val="bg1"/>
            </a:solidFill>
          </a:endParaRPr>
        </a:p>
      </xdr:txBody>
    </xdr:sp>
    <xdr:clientData/>
  </xdr:twoCellAnchor>
  <xdr:twoCellAnchor>
    <xdr:from>
      <xdr:col>4</xdr:col>
      <xdr:colOff>482686</xdr:colOff>
      <xdr:row>31</xdr:row>
      <xdr:rowOff>19309</xdr:rowOff>
    </xdr:from>
    <xdr:to>
      <xdr:col>11</xdr:col>
      <xdr:colOff>139129</xdr:colOff>
      <xdr:row>39</xdr:row>
      <xdr:rowOff>107023</xdr:rowOff>
    </xdr:to>
    <xdr:sp macro="" textlink="">
      <xdr:nvSpPr>
        <xdr:cNvPr id="12" name="Rectangle 11">
          <a:extLst>
            <a:ext uri="{FF2B5EF4-FFF2-40B4-BE49-F238E27FC236}">
              <a16:creationId xmlns:a16="http://schemas.microsoft.com/office/drawing/2014/main" id="{18C21CB8-2E61-24E1-4C2C-151F68DB86DE}"/>
            </a:ext>
          </a:extLst>
        </xdr:cNvPr>
        <xdr:cNvSpPr/>
      </xdr:nvSpPr>
      <xdr:spPr>
        <a:xfrm>
          <a:off x="5555551" y="6322933"/>
          <a:ext cx="7383466" cy="1714455"/>
        </a:xfrm>
        <a:prstGeom prst="rect">
          <a:avLst/>
        </a:prstGeom>
        <a:solidFill>
          <a:srgbClr val="1B2A4A"/>
        </a:solidFill>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PH" sz="1100"/>
        </a:p>
      </xdr:txBody>
    </xdr:sp>
    <xdr:clientData/>
  </xdr:twoCellAnchor>
  <xdr:twoCellAnchor>
    <xdr:from>
      <xdr:col>4</xdr:col>
      <xdr:colOff>669325</xdr:colOff>
      <xdr:row>31</xdr:row>
      <xdr:rowOff>141588</xdr:rowOff>
    </xdr:from>
    <xdr:to>
      <xdr:col>10</xdr:col>
      <xdr:colOff>1220057</xdr:colOff>
      <xdr:row>39</xdr:row>
      <xdr:rowOff>85618</xdr:rowOff>
    </xdr:to>
    <xdr:sp macro="" textlink="">
      <xdr:nvSpPr>
        <xdr:cNvPr id="13" name="TextBox 12">
          <a:extLst>
            <a:ext uri="{FF2B5EF4-FFF2-40B4-BE49-F238E27FC236}">
              <a16:creationId xmlns:a16="http://schemas.microsoft.com/office/drawing/2014/main" id="{A0CD7DBC-BF7A-B92C-01FD-7EAB7D07A7A8}"/>
            </a:ext>
          </a:extLst>
        </xdr:cNvPr>
        <xdr:cNvSpPr txBox="1"/>
      </xdr:nvSpPr>
      <xdr:spPr>
        <a:xfrm>
          <a:off x="5742190" y="6445212"/>
          <a:ext cx="7025592" cy="15707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200" baseline="0">
              <a:solidFill>
                <a:schemeClr val="bg1"/>
              </a:solidFill>
            </a:rPr>
            <a:t>Answers to the questions inside the exercises:</a:t>
          </a:r>
        </a:p>
        <a:p>
          <a:endParaRPr lang="en-PH" sz="1200" baseline="0">
            <a:solidFill>
              <a:schemeClr val="bg1"/>
            </a:solidFill>
          </a:endParaRPr>
        </a:p>
        <a:p>
          <a:r>
            <a:rPr lang="en-PH" sz="1200" baseline="0">
              <a:solidFill>
                <a:schemeClr val="bg1"/>
              </a:solidFill>
            </a:rPr>
            <a:t>Exercise 1: The most lucrative state (region) in the Philippines is Central Luzon with </a:t>
          </a:r>
          <a:r>
            <a:rPr lang="en-PH" sz="1200">
              <a:solidFill>
                <a:schemeClr val="bg1"/>
              </a:solidFill>
              <a:effectLst/>
              <a:latin typeface="+mn-lt"/>
              <a:ea typeface="+mn-ea"/>
              <a:cs typeface="+mn-cs"/>
            </a:rPr>
            <a:t>₱</a:t>
          </a:r>
          <a:r>
            <a:rPr lang="en-PH" sz="1200" baseline="0">
              <a:solidFill>
                <a:schemeClr val="bg1"/>
              </a:solidFill>
            </a:rPr>
            <a:t>531.087 profit.</a:t>
          </a:r>
        </a:p>
        <a:p>
          <a:r>
            <a:rPr lang="en-PH" sz="1200" baseline="0">
              <a:solidFill>
                <a:schemeClr val="bg1"/>
              </a:solidFill>
            </a:rPr>
            <a:t>Exercise 2: </a:t>
          </a:r>
          <a:r>
            <a:rPr lang="en-PH" sz="1200">
              <a:solidFill>
                <a:schemeClr val="bg1"/>
              </a:solidFill>
            </a:rPr>
            <a:t>The category with the healthiest profit margin is Furniture at -4.90%, meaning it loses the least amount relative to its sales compared to the other categories.</a:t>
          </a:r>
        </a:p>
        <a:p>
          <a:r>
            <a:rPr lang="en-PH" sz="1200" baseline="0">
              <a:solidFill>
                <a:schemeClr val="bg1"/>
              </a:solidFill>
            </a:rPr>
            <a:t>Exercise 5: </a:t>
          </a:r>
          <a:r>
            <a:rPr lang="en-PH" sz="1200">
              <a:solidFill>
                <a:schemeClr val="bg1"/>
              </a:solidFill>
            </a:rPr>
            <a:t>The overall Technology sales is </a:t>
          </a:r>
          <a:r>
            <a:rPr lang="en-PH" sz="1200">
              <a:solidFill>
                <a:schemeClr val="bg1"/>
              </a:solidFill>
              <a:effectLst/>
              <a:latin typeface="+mn-lt"/>
              <a:ea typeface="+mn-ea"/>
              <a:cs typeface="+mn-cs"/>
            </a:rPr>
            <a:t>₱</a:t>
          </a:r>
          <a:r>
            <a:rPr lang="en-PH" sz="1200">
              <a:solidFill>
                <a:schemeClr val="bg1"/>
              </a:solidFill>
            </a:rPr>
            <a:t>67,912.73, achieving 67.91% of the ₱100,000 goal. Of this, 46.72% came from the city of Manila, meaning Manila achieved </a:t>
          </a:r>
          <a:r>
            <a:rPr lang="en-PH" sz="1200">
              <a:solidFill>
                <a:schemeClr val="bg1"/>
              </a:solidFill>
              <a:effectLst/>
              <a:latin typeface="+mn-lt"/>
              <a:ea typeface="+mn-ea"/>
              <a:cs typeface="+mn-cs"/>
            </a:rPr>
            <a:t>₱</a:t>
          </a:r>
          <a:r>
            <a:rPr lang="en-PH" sz="1200">
              <a:solidFill>
                <a:schemeClr val="bg1"/>
              </a:solidFill>
            </a:rPr>
            <a:t>46,723.45 in Technology sales</a:t>
          </a:r>
          <a:endParaRPr lang="en-PH" sz="1200" baseline="0">
            <a:solidFill>
              <a:schemeClr val="bg1"/>
            </a:solidFill>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csiegel/Desktop/Sample%20Data%20Project/v10/Demo%20Maker%20Files/Demo%20Maker_Global.xlsx" TargetMode="External"/><Relationship Id="rId1" Type="http://schemas.openxmlformats.org/officeDocument/2006/relationships/externalLinkPath" Target="/Users/csiegel/Desktop/Sample%20Data%20Project/v10/Demo%20Maker%20Files/Demo%20Maker_Glob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put Instructions"/>
      <sheetName val="Who"/>
      <sheetName val="What"/>
      <sheetName val="Where"/>
      <sheetName val="When"/>
      <sheetName val="ShipMode"/>
      <sheetName val="Quantity"/>
      <sheetName val="Language"/>
      <sheetName val="Segment"/>
      <sheetName val="Cat and Subcat"/>
      <sheetName val="Geographic Translations"/>
      <sheetName val="Weight Instructions"/>
      <sheetName val="Region Weights"/>
      <sheetName val="Product Weights"/>
      <sheetName val="Date Weights"/>
      <sheetName val="City Weights"/>
      <sheetName val="Discount"/>
      <sheetName val="Calc Documentation"/>
      <sheetName val="Rand"/>
      <sheetName val="RandVals"/>
      <sheetName val="Calc"/>
      <sheetName val="Orders"/>
      <sheetName val="Country Code Map"/>
    </sheetNames>
    <sheetDataSet>
      <sheetData sheetId="0"/>
      <sheetData sheetId="1"/>
      <sheetData sheetId="2"/>
      <sheetData sheetId="3"/>
      <sheetData sheetId="4"/>
      <sheetData sheetId="5"/>
      <sheetData sheetId="6"/>
      <sheetData sheetId="7">
        <row r="1">
          <cell r="E1">
            <v>1</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im Christian De Vera" refreshedDate="46150.939034953706" createdVersion="8" refreshedVersion="8" minRefreshableVersion="3" recordCount="681" xr:uid="{33529DA1-1A1D-4034-8834-16905AC2FE5D}">
  <cacheSource type="worksheet">
    <worksheetSource ref="A1:X682" sheet="Orders"/>
  </cacheSource>
  <cacheFields count="26">
    <cacheField name="Row ID" numFmtId="0">
      <sharedItems containsSemiMixedTypes="0" containsString="0" containsNumber="1" containsInteger="1" minValue="20299" maxValue="30259"/>
    </cacheField>
    <cacheField name="Order ID" numFmtId="0">
      <sharedItems/>
    </cacheField>
    <cacheField name="Order Date" numFmtId="14">
      <sharedItems containsSemiMixedTypes="0" containsNonDate="0" containsDate="1" containsString="0" minDate="2013-01-03T00:00:00" maxDate="2017-01-01T00:00:00"/>
    </cacheField>
    <cacheField name="Ship Date" numFmtId="14">
      <sharedItems containsSemiMixedTypes="0" containsNonDate="0" containsDate="1" containsString="0" minDate="2013-01-07T00:00:00" maxDate="2016-12-29T00:00:00"/>
    </cacheField>
    <cacheField name="Ship Mode" numFmtId="0">
      <sharedItems/>
    </cacheField>
    <cacheField name="Customer ID" numFmtId="0">
      <sharedItems/>
    </cacheField>
    <cacheField name="Customer Name" numFmtId="0">
      <sharedItems/>
    </cacheField>
    <cacheField name="Segment" numFmtId="0">
      <sharedItems count="3">
        <s v="Home Office"/>
        <s v="Corporate"/>
        <s v="Consumer"/>
      </sharedItems>
    </cacheField>
    <cacheField name="City" numFmtId="0">
      <sharedItems count="18">
        <s v="Manila"/>
        <s v="San Jose del Monte"/>
        <s v="Marikina"/>
        <s v="Las Pinas"/>
        <s v="Antipolo"/>
        <s v="Valenzuela"/>
        <s v="Taytay"/>
        <s v="Baguio City"/>
        <s v="Bacolod City"/>
        <s v="Bacoor"/>
        <s v="Valencia"/>
        <s v="Cainta"/>
        <s v="Calamba"/>
        <s v="Caloocan"/>
        <s v="Angeles City"/>
        <s v="Pasig"/>
        <s v="Makati"/>
        <s v="San Pedro"/>
      </sharedItems>
    </cacheField>
    <cacheField name="State" numFmtId="0">
      <sharedItems count="6">
        <s v="National Capital"/>
        <s v="Central Luzon"/>
        <s v="Calabarzon"/>
        <s v="Cordillera"/>
        <s v="Western Visayas"/>
        <s v="Northern Mindanao"/>
      </sharedItems>
    </cacheField>
    <cacheField name="Country" numFmtId="0">
      <sharedItems count="1">
        <s v="Philippines"/>
      </sharedItems>
    </cacheField>
    <cacheField name="Postal Code" numFmtId="0">
      <sharedItems containsNonDate="0" containsString="0" containsBlank="1"/>
    </cacheField>
    <cacheField name="Market" numFmtId="0">
      <sharedItems/>
    </cacheField>
    <cacheField name="Region" numFmtId="0">
      <sharedItems/>
    </cacheField>
    <cacheField name="Product ID" numFmtId="0">
      <sharedItems/>
    </cacheField>
    <cacheField name="Category" numFmtId="0">
      <sharedItems count="3">
        <s v="Office Supplies"/>
        <s v="Technology"/>
        <s v="Furniture"/>
      </sharedItems>
    </cacheField>
    <cacheField name="Sub-Category" numFmtId="0">
      <sharedItems/>
    </cacheField>
    <cacheField name="Product Name" numFmtId="0">
      <sharedItems/>
    </cacheField>
    <cacheField name="Sales" numFmtId="0">
      <sharedItems containsSemiMixedTypes="0" containsString="0" containsNumber="1" minValue="4.5705000000000009" maxValue="3386.8589999999999"/>
    </cacheField>
    <cacheField name="Quantity" numFmtId="0">
      <sharedItems containsSemiMixedTypes="0" containsString="0" containsNumber="1" containsInteger="1" minValue="1" maxValue="13"/>
    </cacheField>
    <cacheField name="Discount" numFmtId="0">
      <sharedItems containsSemiMixedTypes="0" containsString="0" containsNumber="1" minValue="0.15000000000000002" maxValue="0.55000000000000004"/>
    </cacheField>
    <cacheField name="Profit" numFmtId="0">
      <sharedItems containsSemiMixedTypes="0" containsString="0" containsNumber="1" minValue="-976.50000000000023" maxValue="822.66000000000008"/>
    </cacheField>
    <cacheField name="Shipping Cost" numFmtId="164">
      <sharedItems containsSemiMixedTypes="0" containsString="0" containsNumber="1" minValue="0.03" maxValue="546.49"/>
    </cacheField>
    <cacheField name="Order Priority" numFmtId="0">
      <sharedItems/>
    </cacheField>
    <cacheField name="Profit Margin" numFmtId="0" formula="Profit/Sales" databaseField="0"/>
    <cacheField name="Net_Impact" numFmtId="0" formula="(Sales* 0.1) +Profit" databaseField="0"/>
  </cacheFields>
  <extLst>
    <ext xmlns:x14="http://schemas.microsoft.com/office/spreadsheetml/2009/9/main" uri="{725AE2AE-9491-48be-B2B4-4EB974FC3084}">
      <x14:pivotCacheDefinition pivotCacheId="21105795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81">
  <r>
    <n v="26410"/>
    <s v="ID-2013-71522"/>
    <d v="2015-01-15T00:00:00"/>
    <d v="2015-01-21T00:00:00"/>
    <s v="Standard Class"/>
    <s v="TA-21385"/>
    <s v="Tom Ashbrook"/>
    <x v="0"/>
    <x v="0"/>
    <x v="0"/>
    <x v="0"/>
    <m/>
    <s v="APAC"/>
    <s v="Southeast Asia"/>
    <s v="OFF-AP-10000487"/>
    <x v="0"/>
    <s v="Appliances"/>
    <s v="Hoover Stove, Silver"/>
    <n v="3386.8589999999999"/>
    <n v="7"/>
    <n v="0.15000000000000002"/>
    <n v="-597.68100000000004"/>
    <n v="257.24"/>
    <s v="Low"/>
  </r>
  <r>
    <n v="24672"/>
    <s v="ID-2014-69233"/>
    <d v="2016-03-04T00:00:00"/>
    <d v="2016-03-09T00:00:00"/>
    <s v="Second Class"/>
    <s v="PO-19180"/>
    <s v="Philisse Overcash"/>
    <x v="0"/>
    <x v="1"/>
    <x v="1"/>
    <x v="0"/>
    <m/>
    <s v="APAC"/>
    <s v="Southeast Asia"/>
    <s v="TEC-CO-10000794"/>
    <x v="1"/>
    <s v="Copiers"/>
    <s v="Hewlett Wireless Fax, High-Speed"/>
    <n v="2951.442"/>
    <n v="12"/>
    <n v="0.35"/>
    <n v="226.96200000000044"/>
    <n v="28.78"/>
    <s v="Medium"/>
  </r>
  <r>
    <n v="25271"/>
    <s v="IN-2014-17580"/>
    <d v="2016-09-23T00:00:00"/>
    <d v="2016-09-29T00:00:00"/>
    <s v="Standard Class"/>
    <s v="HR-14770"/>
    <s v="Hallie Redmond"/>
    <x v="0"/>
    <x v="2"/>
    <x v="0"/>
    <x v="0"/>
    <m/>
    <s v="APAC"/>
    <s v="Southeast Asia"/>
    <s v="FUR-CH-10000974"/>
    <x v="2"/>
    <s v="Chairs"/>
    <s v="Harbour Creations Executive Leather Armchair, Black"/>
    <n v="2841.6599999999994"/>
    <n v="8"/>
    <n v="0.25"/>
    <n v="189.42000000000007"/>
    <n v="242.38"/>
    <s v="Medium"/>
  </r>
  <r>
    <n v="27243"/>
    <s v="IN-2014-77059"/>
    <d v="2016-09-03T00:00:00"/>
    <d v="2016-09-06T00:00:00"/>
    <s v="Second Class"/>
    <s v="EM-14200"/>
    <s v="Evan Minnotte"/>
    <x v="0"/>
    <x v="0"/>
    <x v="0"/>
    <x v="0"/>
    <m/>
    <s v="APAC"/>
    <s v="Southeast Asia"/>
    <s v="FUR-CH-10002250"/>
    <x v="2"/>
    <s v="Chairs"/>
    <s v="Office Star Executive Leather Armchair, Black"/>
    <n v="2804.58"/>
    <n v="8"/>
    <n v="0.25"/>
    <n v="822.66000000000008"/>
    <n v="171.36"/>
    <s v="Medium"/>
  </r>
  <r>
    <n v="26731"/>
    <s v="ID-2013-25742"/>
    <d v="2015-01-28T00:00:00"/>
    <d v="2015-01-30T00:00:00"/>
    <s v="First Class"/>
    <s v="SC-20695"/>
    <s v="Steve Chapman"/>
    <x v="1"/>
    <x v="0"/>
    <x v="0"/>
    <x v="0"/>
    <m/>
    <s v="APAC"/>
    <s v="Southeast Asia"/>
    <s v="FUR-CH-10001415"/>
    <x v="2"/>
    <s v="Chairs"/>
    <s v="Office Star Executive Leather Armchair, Red"/>
    <n v="2465.8199999999997"/>
    <n v="7"/>
    <n v="0.25"/>
    <n v="197.19000000000005"/>
    <n v="546.49"/>
    <s v="High"/>
  </r>
  <r>
    <n v="22328"/>
    <s v="ID-2012-76457"/>
    <d v="2014-09-06T00:00:00"/>
    <d v="2014-09-11T00:00:00"/>
    <s v="Standard Class"/>
    <s v="NG-18430"/>
    <s v="Nathan Gelder"/>
    <x v="2"/>
    <x v="0"/>
    <x v="0"/>
    <x v="0"/>
    <m/>
    <s v="APAC"/>
    <s v="Southeast Asia"/>
    <s v="TEC-PH-10001990"/>
    <x v="1"/>
    <s v="Phones"/>
    <s v="Cisco Smart Phone, Full Size"/>
    <n v="2447.5500000000002"/>
    <n v="5"/>
    <n v="0.25"/>
    <n v="228.29999999999973"/>
    <n v="88.29"/>
    <s v="Medium"/>
  </r>
  <r>
    <n v="29827"/>
    <s v="ID-2014-48961"/>
    <d v="2016-11-10T00:00:00"/>
    <d v="2016-11-15T00:00:00"/>
    <s v="Standard Class"/>
    <s v="BT-11440"/>
    <s v="Bobby Trafton"/>
    <x v="2"/>
    <x v="0"/>
    <x v="0"/>
    <x v="0"/>
    <m/>
    <s v="APAC"/>
    <s v="Southeast Asia"/>
    <s v="OFF-AP-10004964"/>
    <x v="0"/>
    <s v="Appliances"/>
    <s v="Hoover Stove, White"/>
    <n v="2408.0924999999997"/>
    <n v="5"/>
    <n v="0.15000000000000002"/>
    <n v="339.89249999999993"/>
    <n v="112.77"/>
    <s v="Medium"/>
  </r>
  <r>
    <n v="21401"/>
    <s v="IN-2014-67553"/>
    <d v="2016-12-24T00:00:00"/>
    <d v="2016-12-28T00:00:00"/>
    <s v="Standard Class"/>
    <s v="JC-15775"/>
    <s v="John Castell"/>
    <x v="2"/>
    <x v="3"/>
    <x v="0"/>
    <x v="0"/>
    <m/>
    <s v="APAC"/>
    <s v="Southeast Asia"/>
    <s v="TEC-PH-10002683"/>
    <x v="1"/>
    <s v="Phones"/>
    <s v="Apple Smart Phone, Cordless"/>
    <n v="2386.125"/>
    <n v="5"/>
    <n v="0.25"/>
    <n v="381.67499999999995"/>
    <n v="161.91999999999999"/>
    <s v="Medium"/>
  </r>
  <r>
    <n v="29277"/>
    <s v="ID-2014-27765"/>
    <d v="2016-09-08T00:00:00"/>
    <d v="2016-09-11T00:00:00"/>
    <s v="First Class"/>
    <s v="KM-16720"/>
    <s v="Kunst Miller"/>
    <x v="2"/>
    <x v="0"/>
    <x v="0"/>
    <x v="0"/>
    <m/>
    <s v="APAC"/>
    <s v="Southeast Asia"/>
    <s v="FUR-BO-10002204"/>
    <x v="2"/>
    <s v="Bookcases"/>
    <s v="Bush Classic Bookcase, Pine"/>
    <n v="2152.9560000000001"/>
    <n v="8"/>
    <n v="0.35"/>
    <n v="198.63600000000019"/>
    <n v="309.11"/>
    <s v="Medium"/>
  </r>
  <r>
    <n v="29721"/>
    <s v="ID-2011-13240"/>
    <d v="2013-11-25T00:00:00"/>
    <d v="2013-11-30T00:00:00"/>
    <s v="Standard Class"/>
    <s v="AH-10195"/>
    <s v="Alan Haines"/>
    <x v="1"/>
    <x v="4"/>
    <x v="2"/>
    <x v="0"/>
    <m/>
    <s v="APAC"/>
    <s v="Southeast Asia"/>
    <s v="OFF-AP-10001621"/>
    <x v="0"/>
    <s v="Appliances"/>
    <s v="Hamilton Beach Refrigerator, Black"/>
    <n v="2123.1299999999997"/>
    <n v="5"/>
    <n v="0.15000000000000002"/>
    <n v="-174.86999999999995"/>
    <n v="138.93"/>
    <s v="High"/>
  </r>
  <r>
    <n v="23066"/>
    <s v="ID-2013-55401"/>
    <d v="2015-08-07T00:00:00"/>
    <d v="2015-08-09T00:00:00"/>
    <s v="First Class"/>
    <s v="CS-11860"/>
    <s v="Cari Schnelling"/>
    <x v="2"/>
    <x v="0"/>
    <x v="0"/>
    <x v="0"/>
    <m/>
    <s v="APAC"/>
    <s v="Southeast Asia"/>
    <s v="TEC-PH-10002652"/>
    <x v="1"/>
    <s v="Phones"/>
    <s v="Cisco Smart Phone, Cordless"/>
    <n v="1954.44"/>
    <n v="4"/>
    <n v="0.25"/>
    <n v="-286.68000000000006"/>
    <n v="175.45"/>
    <s v="High"/>
  </r>
  <r>
    <n v="22017"/>
    <s v="ID-2013-16306"/>
    <d v="2015-10-18T00:00:00"/>
    <d v="2015-10-23T00:00:00"/>
    <s v="Second Class"/>
    <s v="CS-11950"/>
    <s v="Carlos Soltero"/>
    <x v="2"/>
    <x v="4"/>
    <x v="2"/>
    <x v="0"/>
    <m/>
    <s v="APAC"/>
    <s v="Southeast Asia"/>
    <s v="TEC-PH-10001699"/>
    <x v="1"/>
    <s v="Phones"/>
    <s v="Samsung Smart Phone, Full Size"/>
    <n v="1912.3200000000002"/>
    <n v="4"/>
    <n v="0.25"/>
    <n v="-204.00000000000011"/>
    <n v="76.63"/>
    <s v="Medium"/>
  </r>
  <r>
    <n v="25872"/>
    <s v="IN-2014-35297"/>
    <d v="2016-02-13T00:00:00"/>
    <d v="2016-02-14T00:00:00"/>
    <s v="First Class"/>
    <s v="KB-16405"/>
    <s v="Katrina Bavinger"/>
    <x v="0"/>
    <x v="0"/>
    <x v="0"/>
    <x v="0"/>
    <m/>
    <s v="APAC"/>
    <s v="Southeast Asia"/>
    <s v="FUR-CH-10003616"/>
    <x v="2"/>
    <s v="Chairs"/>
    <s v="Novimex Executive Leather Armchair, Adjustable"/>
    <n v="1726.6499999999996"/>
    <n v="5"/>
    <n v="0.25"/>
    <n v="414.29999999999995"/>
    <n v="87.23"/>
    <s v="Medium"/>
  </r>
  <r>
    <n v="27129"/>
    <s v="ID-2014-58271"/>
    <d v="2016-11-13T00:00:00"/>
    <d v="2016-11-15T00:00:00"/>
    <s v="Second Class"/>
    <s v="VF-21715"/>
    <s v="Vicky Freymann"/>
    <x v="0"/>
    <x v="0"/>
    <x v="0"/>
    <x v="0"/>
    <m/>
    <s v="APAC"/>
    <s v="Southeast Asia"/>
    <s v="FUR-CH-10000602"/>
    <x v="2"/>
    <s v="Chairs"/>
    <s v="Novimex Executive Leather Armchair, Red"/>
    <n v="1725.75"/>
    <n v="5"/>
    <n v="0.25"/>
    <n v="-483.2999999999999"/>
    <n v="350.68"/>
    <s v="Critical"/>
  </r>
  <r>
    <n v="25237"/>
    <s v="ID-2011-18056"/>
    <d v="2013-07-08T00:00:00"/>
    <d v="2013-07-13T00:00:00"/>
    <s v="Standard Class"/>
    <s v="EH-14125"/>
    <s v="Eugene Hildebrand"/>
    <x v="0"/>
    <x v="0"/>
    <x v="0"/>
    <x v="0"/>
    <m/>
    <s v="APAC"/>
    <s v="Southeast Asia"/>
    <s v="TEC-MA-10002468"/>
    <x v="1"/>
    <s v="Machines"/>
    <s v="Panasonic Inkjet, White"/>
    <n v="1630.1250000000005"/>
    <n v="7"/>
    <n v="0.25"/>
    <n v="-282.55500000000012"/>
    <n v="147.97999999999999"/>
    <s v="Medium"/>
  </r>
  <r>
    <n v="30105"/>
    <s v="IN-2014-20485"/>
    <d v="2016-11-08T00:00:00"/>
    <d v="2016-11-10T00:00:00"/>
    <s v="First Class"/>
    <s v="JM-15265"/>
    <s v="Janet Molinari"/>
    <x v="1"/>
    <x v="2"/>
    <x v="0"/>
    <x v="0"/>
    <m/>
    <s v="APAC"/>
    <s v="Southeast Asia"/>
    <s v="OFF-AP-10003866"/>
    <x v="0"/>
    <s v="Appliances"/>
    <s v="Breville Microwave, Red"/>
    <n v="1538.7209999999998"/>
    <n v="6"/>
    <n v="0.15000000000000002"/>
    <n v="325.70100000000002"/>
    <n v="403.26"/>
    <s v="High"/>
  </r>
  <r>
    <n v="28076"/>
    <s v="IN-2013-16999"/>
    <d v="2015-09-09T00:00:00"/>
    <d v="2015-09-09T00:00:00"/>
    <s v="Same Day"/>
    <s v="AM-10705"/>
    <s v="Anne McFarland"/>
    <x v="2"/>
    <x v="0"/>
    <x v="0"/>
    <x v="0"/>
    <m/>
    <s v="APAC"/>
    <s v="Southeast Asia"/>
    <s v="TEC-CO-10000447"/>
    <x v="1"/>
    <s v="Copiers"/>
    <s v="Canon Wireless Fax, Color"/>
    <n v="1482.39"/>
    <n v="6"/>
    <n v="0.35"/>
    <n v="68.310000000000059"/>
    <n v="290.69"/>
    <s v="High"/>
  </r>
  <r>
    <n v="22032"/>
    <s v="ID-2014-10356"/>
    <d v="2016-04-18T00:00:00"/>
    <d v="2016-04-22T00:00:00"/>
    <s v="Standard Class"/>
    <s v="HZ-14950"/>
    <s v="Henia Zydlo"/>
    <x v="2"/>
    <x v="0"/>
    <x v="0"/>
    <x v="0"/>
    <m/>
    <s v="APAC"/>
    <s v="Southeast Asia"/>
    <s v="OFF-AP-10000487"/>
    <x v="0"/>
    <s v="Appliances"/>
    <s v="Hoover Stove, Silver"/>
    <n v="1451.511"/>
    <n v="3"/>
    <n v="0.15000000000000002"/>
    <n v="-256.149"/>
    <n v="58.77"/>
    <s v="Medium"/>
  </r>
  <r>
    <n v="28875"/>
    <s v="ID-2014-31363"/>
    <d v="2016-06-10T00:00:00"/>
    <d v="2016-06-11T00:00:00"/>
    <s v="First Class"/>
    <s v="SC-20380"/>
    <s v="Shahid Collister"/>
    <x v="2"/>
    <x v="2"/>
    <x v="0"/>
    <x v="0"/>
    <m/>
    <s v="APAC"/>
    <s v="Southeast Asia"/>
    <s v="OFF-AP-10001824"/>
    <x v="0"/>
    <s v="Appliances"/>
    <s v="Breville Stove, Silver"/>
    <n v="1433.8394999999998"/>
    <n v="3"/>
    <n v="0.15000000000000002"/>
    <n v="-84.370500000000021"/>
    <n v="424.81"/>
    <s v="High"/>
  </r>
  <r>
    <n v="24389"/>
    <s v="ID-2014-15186"/>
    <d v="2016-04-16T00:00:00"/>
    <d v="2016-04-23T00:00:00"/>
    <s v="Standard Class"/>
    <s v="JK-15730"/>
    <s v="Joe Kamberova"/>
    <x v="2"/>
    <x v="0"/>
    <x v="0"/>
    <x v="0"/>
    <m/>
    <s v="APAC"/>
    <s v="Southeast Asia"/>
    <s v="TEC-PH-10002991"/>
    <x v="1"/>
    <s v="Phones"/>
    <s v="Apple Smart Phone, Full Size"/>
    <n v="1431.4725000000001"/>
    <n v="3"/>
    <n v="0.25"/>
    <n v="-343.59750000000003"/>
    <n v="109.86"/>
    <s v="Medium"/>
  </r>
  <r>
    <n v="29731"/>
    <s v="IN-2012-40274"/>
    <d v="2014-12-27T00:00:00"/>
    <d v="2014-12-30T00:00:00"/>
    <s v="First Class"/>
    <s v="RP-19390"/>
    <s v="Resi Pölking"/>
    <x v="2"/>
    <x v="5"/>
    <x v="0"/>
    <x v="0"/>
    <m/>
    <s v="APAC"/>
    <s v="Southeast Asia"/>
    <s v="TEC-PH-10000030"/>
    <x v="1"/>
    <s v="Phones"/>
    <s v="Samsung Smart Phone, with Caller ID"/>
    <n v="1431.3375000000001"/>
    <n v="3"/>
    <n v="0.25"/>
    <n v="171.69749999999999"/>
    <n v="194.21"/>
    <s v="Medium"/>
  </r>
  <r>
    <n v="20865"/>
    <s v="ID-2014-35122"/>
    <d v="2016-01-22T00:00:00"/>
    <d v="2016-01-26T00:00:00"/>
    <s v="Standard Class"/>
    <s v="DK-13090"/>
    <s v="Dave Kipp"/>
    <x v="2"/>
    <x v="6"/>
    <x v="2"/>
    <x v="0"/>
    <m/>
    <s v="APAC"/>
    <s v="Southeast Asia"/>
    <s v="FUR-CH-10001322"/>
    <x v="2"/>
    <s v="Chairs"/>
    <s v="Harbour Creations Executive Leather Armchair, Adjustable"/>
    <n v="1428.3"/>
    <n v="4"/>
    <n v="0.25"/>
    <n v="-57.180000000000007"/>
    <n v="50.47"/>
    <s v="Medium"/>
  </r>
  <r>
    <n v="21236"/>
    <s v="ID-2011-58250"/>
    <d v="2013-10-26T00:00:00"/>
    <d v="2013-11-01T00:00:00"/>
    <s v="Standard Class"/>
    <s v="TS-21160"/>
    <s v="Theresa Swint"/>
    <x v="1"/>
    <x v="0"/>
    <x v="0"/>
    <x v="0"/>
    <m/>
    <s v="APAC"/>
    <s v="Southeast Asia"/>
    <s v="FUR-CH-10002250"/>
    <x v="2"/>
    <s v="Chairs"/>
    <s v="Office Star Executive Leather Armchair, Black"/>
    <n v="1402.29"/>
    <n v="4"/>
    <n v="0.25"/>
    <n v="411.33000000000004"/>
    <n v="154.04"/>
    <s v="Medium"/>
  </r>
  <r>
    <n v="21876"/>
    <s v="ID-2014-16474"/>
    <d v="2016-08-29T00:00:00"/>
    <d v="2016-09-03T00:00:00"/>
    <s v="Standard Class"/>
    <s v="FH-14365"/>
    <s v="Fred Hopkins"/>
    <x v="1"/>
    <x v="0"/>
    <x v="0"/>
    <x v="0"/>
    <m/>
    <s v="APAC"/>
    <s v="Southeast Asia"/>
    <s v="OFF-AP-10001305"/>
    <x v="0"/>
    <s v="Appliances"/>
    <s v="Breville Microwave, White"/>
    <n v="1274.3625"/>
    <n v="5"/>
    <n v="0.15000000000000002"/>
    <n v="314.81250000000006"/>
    <n v="113.16"/>
    <s v="Medium"/>
  </r>
  <r>
    <n v="22699"/>
    <s v="ID-2011-47575"/>
    <d v="2013-02-15T00:00:00"/>
    <d v="2013-02-21T00:00:00"/>
    <s v="Standard Class"/>
    <s v="CM-12385"/>
    <s v="Christopher Martinez"/>
    <x v="2"/>
    <x v="0"/>
    <x v="0"/>
    <x v="0"/>
    <m/>
    <s v="APAC"/>
    <s v="Southeast Asia"/>
    <s v="TEC-CO-10000865"/>
    <x v="1"/>
    <s v="Copiers"/>
    <s v="Brother Fax Machine, High-Speed"/>
    <n v="1235.2860000000001"/>
    <n v="6"/>
    <n v="0.35"/>
    <n v="-456.17399999999998"/>
    <n v="118.63"/>
    <s v="Low"/>
  </r>
  <r>
    <n v="27698"/>
    <s v="ID-2012-40750"/>
    <d v="2014-09-19T00:00:00"/>
    <d v="2014-09-25T00:00:00"/>
    <s v="Standard Class"/>
    <s v="MP-17470"/>
    <s v="Mark Packer"/>
    <x v="0"/>
    <x v="0"/>
    <x v="0"/>
    <x v="0"/>
    <m/>
    <s v="APAC"/>
    <s v="Southeast Asia"/>
    <s v="TEC-CO-10002578"/>
    <x v="1"/>
    <s v="Copiers"/>
    <s v="Canon Copy Machine, Laser"/>
    <n v="1192.7370000000003"/>
    <n v="7"/>
    <n v="0.35"/>
    <n v="-183.60300000000007"/>
    <n v="77.08"/>
    <s v="Medium"/>
  </r>
  <r>
    <n v="22458"/>
    <s v="ID-2014-61526"/>
    <d v="2016-12-20T00:00:00"/>
    <d v="2016-12-24T00:00:00"/>
    <s v="Standard Class"/>
    <s v="TC-21145"/>
    <s v="Theresa Coyne"/>
    <x v="1"/>
    <x v="7"/>
    <x v="3"/>
    <x v="0"/>
    <m/>
    <s v="APAC"/>
    <s v="Southeast Asia"/>
    <s v="FUR-CH-10003846"/>
    <x v="2"/>
    <s v="Chairs"/>
    <s v="Office Star Swivel Stool, Set of Two"/>
    <n v="1189.2824999999998"/>
    <n v="9"/>
    <n v="0.25"/>
    <n v="-396.42750000000001"/>
    <n v="225.78"/>
    <s v="High"/>
  </r>
  <r>
    <n v="26893"/>
    <s v="ID-2012-45930"/>
    <d v="2014-01-10T00:00:00"/>
    <d v="2014-01-14T00:00:00"/>
    <s v="Second Class"/>
    <s v="RS-19765"/>
    <s v="Roland Schwarz"/>
    <x v="1"/>
    <x v="7"/>
    <x v="3"/>
    <x v="0"/>
    <m/>
    <s v="APAC"/>
    <s v="Southeast Asia"/>
    <s v="OFF-AP-10003511"/>
    <x v="0"/>
    <s v="Appliances"/>
    <s v="Cuisinart Microwave, Black"/>
    <n v="1181.0324999999998"/>
    <n v="5"/>
    <n v="0.15000000000000002"/>
    <n v="138.83249999999992"/>
    <n v="167.74"/>
    <s v="Medium"/>
  </r>
  <r>
    <n v="24816"/>
    <s v="ID-2013-66104"/>
    <d v="2015-03-04T00:00:00"/>
    <d v="2015-03-09T00:00:00"/>
    <s v="Second Class"/>
    <s v="HA-14905"/>
    <s v="Helen Abelman"/>
    <x v="2"/>
    <x v="0"/>
    <x v="0"/>
    <x v="0"/>
    <m/>
    <s v="APAC"/>
    <s v="Southeast Asia"/>
    <s v="FUR-BO-10002390"/>
    <x v="2"/>
    <s v="Bookcases"/>
    <s v="Ikea Library with Doors, Metal"/>
    <n v="1179.2625"/>
    <n v="5"/>
    <n v="0.35"/>
    <n v="-471.78749999999997"/>
    <n v="138.87"/>
    <s v="Medium"/>
  </r>
  <r>
    <n v="22638"/>
    <s v="IN-2014-60413"/>
    <d v="2016-07-07T00:00:00"/>
    <d v="2016-07-11T00:00:00"/>
    <s v="Standard Class"/>
    <s v="RP-19390"/>
    <s v="Resi Pölking"/>
    <x v="2"/>
    <x v="0"/>
    <x v="0"/>
    <x v="0"/>
    <m/>
    <s v="APAC"/>
    <s v="Southeast Asia"/>
    <s v="TEC-MA-10002468"/>
    <x v="1"/>
    <s v="Machines"/>
    <s v="Panasonic Inkjet, White"/>
    <n v="1164.3750000000002"/>
    <n v="5"/>
    <n v="0.25"/>
    <n v="-201.82500000000007"/>
    <n v="81.03"/>
    <s v="Medium"/>
  </r>
  <r>
    <n v="22380"/>
    <s v="IN-2013-64851"/>
    <d v="2015-05-10T00:00:00"/>
    <d v="2015-05-16T00:00:00"/>
    <s v="Standard Class"/>
    <s v="SW-20350"/>
    <s v="Sean Wendt"/>
    <x v="0"/>
    <x v="0"/>
    <x v="0"/>
    <x v="0"/>
    <m/>
    <s v="APAC"/>
    <s v="Southeast Asia"/>
    <s v="FUR-CH-10003551"/>
    <x v="2"/>
    <s v="Chairs"/>
    <s v="Hon Swivel Stool, Black"/>
    <n v="1088.2350000000001"/>
    <n v="9"/>
    <n v="0.25"/>
    <n v="333.58499999999998"/>
    <n v="100.21"/>
    <s v="Low"/>
  </r>
  <r>
    <n v="25176"/>
    <s v="ID-2014-24538"/>
    <d v="2016-10-10T00:00:00"/>
    <d v="2016-10-12T00:00:00"/>
    <s v="Second Class"/>
    <s v="PC-18745"/>
    <s v="Pamela Coakley"/>
    <x v="1"/>
    <x v="4"/>
    <x v="2"/>
    <x v="0"/>
    <m/>
    <s v="APAC"/>
    <s v="Southeast Asia"/>
    <s v="FUR-CH-10002061"/>
    <x v="2"/>
    <s v="Chairs"/>
    <s v="Harbour Creations Executive Leather Armchair, Red"/>
    <n v="1070.6849999999997"/>
    <n v="3"/>
    <n v="0.25"/>
    <n v="-14.354999999999905"/>
    <n v="190.41"/>
    <s v="High"/>
  </r>
  <r>
    <n v="23413"/>
    <s v="IN-2014-54547"/>
    <d v="2016-02-14T00:00:00"/>
    <d v="2016-02-19T00:00:00"/>
    <s v="Standard Class"/>
    <s v="TB-21400"/>
    <s v="Tom Boeckenhauer"/>
    <x v="2"/>
    <x v="0"/>
    <x v="0"/>
    <x v="0"/>
    <m/>
    <s v="APAC"/>
    <s v="Southeast Asia"/>
    <s v="FUR-CH-10002250"/>
    <x v="2"/>
    <s v="Chairs"/>
    <s v="Office Star Executive Leather Armchair, Black"/>
    <n v="1051.7175"/>
    <n v="3"/>
    <n v="0.25"/>
    <n v="308.49749999999995"/>
    <n v="103.58"/>
    <s v="Medium"/>
  </r>
  <r>
    <n v="24115"/>
    <s v="ID-2011-59293"/>
    <d v="2013-11-04T00:00:00"/>
    <d v="2013-11-06T00:00:00"/>
    <s v="Second Class"/>
    <s v="JD-16015"/>
    <s v="Joy Daniels"/>
    <x v="2"/>
    <x v="0"/>
    <x v="0"/>
    <x v="0"/>
    <m/>
    <s v="APAC"/>
    <s v="Southeast Asia"/>
    <s v="FUR-TA-10003003"/>
    <x v="2"/>
    <s v="Tables"/>
    <s v="Lesro Wood Table, Rectangular"/>
    <n v="1046.2499999999998"/>
    <n v="5"/>
    <n v="0.55000000000000004"/>
    <n v="-976.50000000000023"/>
    <n v="163.02000000000001"/>
    <s v="High"/>
  </r>
  <r>
    <n v="24435"/>
    <s v="ID-2014-74238"/>
    <d v="2016-02-17T00:00:00"/>
    <d v="2016-02-18T00:00:00"/>
    <s v="First Class"/>
    <s v="KH-16510"/>
    <s v="Keith Herrera"/>
    <x v="2"/>
    <x v="8"/>
    <x v="4"/>
    <x v="0"/>
    <m/>
    <s v="APAC"/>
    <s v="Southeast Asia"/>
    <s v="FUR-CH-10002573"/>
    <x v="2"/>
    <s v="Chairs"/>
    <s v="Office Star Executive Leather Armchair, Adjustable"/>
    <n v="1046.2499999999995"/>
    <n v="3"/>
    <n v="0.25"/>
    <n v="-111.59999999999985"/>
    <n v="289.32"/>
    <s v="High"/>
  </r>
  <r>
    <n v="22240"/>
    <s v="ID-2014-31125"/>
    <d v="2016-01-09T00:00:00"/>
    <d v="2016-01-14T00:00:00"/>
    <s v="Standard Class"/>
    <s v="BT-11305"/>
    <s v="Beth Thompson"/>
    <x v="0"/>
    <x v="0"/>
    <x v="0"/>
    <x v="0"/>
    <m/>
    <s v="APAC"/>
    <s v="Southeast Asia"/>
    <s v="FUR-CH-10000027"/>
    <x v="2"/>
    <s v="Chairs"/>
    <s v="SAFCO Executive Leather Armchair, Black"/>
    <n v="1032.7499999999995"/>
    <n v="3"/>
    <n v="0.25"/>
    <n v="-165.2399999999999"/>
    <n v="41.47"/>
    <s v="Medium"/>
  </r>
  <r>
    <n v="30217"/>
    <s v="ID-2013-26092"/>
    <d v="2015-03-27T00:00:00"/>
    <d v="2015-04-03T00:00:00"/>
    <s v="Standard Class"/>
    <s v="KN-16390"/>
    <s v="Katherine Nockton"/>
    <x v="1"/>
    <x v="0"/>
    <x v="0"/>
    <x v="0"/>
    <m/>
    <s v="APAC"/>
    <s v="Southeast Asia"/>
    <s v="TEC-CO-10003342"/>
    <x v="1"/>
    <s v="Copiers"/>
    <s v="Canon Fax Machine, High-Speed"/>
    <n v="1028.9175000000002"/>
    <n v="5"/>
    <n v="0.35"/>
    <n v="-221.63249999999999"/>
    <n v="61.24"/>
    <s v="Medium"/>
  </r>
  <r>
    <n v="28921"/>
    <s v="IN-2013-37446"/>
    <d v="2015-08-07T00:00:00"/>
    <d v="2015-08-11T00:00:00"/>
    <s v="Second Class"/>
    <s v="RH-19555"/>
    <s v="Ritsa Hightower"/>
    <x v="2"/>
    <x v="9"/>
    <x v="2"/>
    <x v="0"/>
    <m/>
    <s v="APAC"/>
    <s v="Southeast Asia"/>
    <s v="TEC-MA-10000606"/>
    <x v="1"/>
    <s v="Machines"/>
    <s v="Okidata Printer, White"/>
    <n v="1000.9125"/>
    <n v="5"/>
    <n v="0.25"/>
    <n v="26.662499999999966"/>
    <n v="143.09"/>
    <s v="Medium"/>
  </r>
  <r>
    <n v="23179"/>
    <s v="ID-2014-68099"/>
    <d v="2016-02-04T00:00:00"/>
    <d v="2016-02-07T00:00:00"/>
    <s v="First Class"/>
    <s v="MF-18250"/>
    <s v="Monica Federle"/>
    <x v="1"/>
    <x v="0"/>
    <x v="0"/>
    <x v="0"/>
    <m/>
    <s v="APAC"/>
    <s v="Southeast Asia"/>
    <s v="TEC-PH-10003794"/>
    <x v="1"/>
    <s v="Phones"/>
    <s v="Nokia Smart Phone, Full Size"/>
    <n v="956.02500000000009"/>
    <n v="2"/>
    <n v="0.25"/>
    <n v="-153.01500000000001"/>
    <n v="136.9"/>
    <s v="Medium"/>
  </r>
  <r>
    <n v="20497"/>
    <s v="IN-2012-26169"/>
    <d v="2014-03-26T00:00:00"/>
    <d v="2014-03-30T00:00:00"/>
    <s v="Standard Class"/>
    <s v="BF-11005"/>
    <s v="Barry Franz"/>
    <x v="0"/>
    <x v="0"/>
    <x v="0"/>
    <x v="0"/>
    <m/>
    <s v="APAC"/>
    <s v="Southeast Asia"/>
    <s v="TEC-PH-10003891"/>
    <x v="1"/>
    <s v="Phones"/>
    <s v="Cisco Audio Dock, with Caller ID"/>
    <n v="955.86750000000006"/>
    <n v="7"/>
    <n v="0.25"/>
    <n v="229.26749999999998"/>
    <n v="68.17"/>
    <s v="High"/>
  </r>
  <r>
    <n v="23821"/>
    <s v="IN-2011-67028"/>
    <d v="2013-03-08T00:00:00"/>
    <d v="2013-03-12T00:00:00"/>
    <s v="Standard Class"/>
    <s v="DK-13150"/>
    <s v="David Kendrick"/>
    <x v="1"/>
    <x v="0"/>
    <x v="0"/>
    <x v="0"/>
    <m/>
    <s v="APAC"/>
    <s v="Southeast Asia"/>
    <s v="TEC-PH-10003713"/>
    <x v="1"/>
    <s v="Phones"/>
    <s v="Nokia Smart Phone, Cordless"/>
    <n v="954.22500000000014"/>
    <n v="2"/>
    <n v="0.25"/>
    <n v="38.144999999999925"/>
    <n v="20.84"/>
    <s v="Medium"/>
  </r>
  <r>
    <n v="26954"/>
    <s v="IN-2013-69009"/>
    <d v="2015-09-17T00:00:00"/>
    <d v="2015-09-24T00:00:00"/>
    <s v="Standard Class"/>
    <s v="LS-17245"/>
    <s v="Lynn Smith"/>
    <x v="2"/>
    <x v="10"/>
    <x v="5"/>
    <x v="0"/>
    <m/>
    <s v="APAC"/>
    <s v="Southeast Asia"/>
    <s v="FUR-BO-10001385"/>
    <x v="2"/>
    <s v="Bookcases"/>
    <s v="Sauder Corner Shelving, Metal"/>
    <n v="953.93999999999994"/>
    <n v="10"/>
    <n v="0.35"/>
    <n v="131.94000000000005"/>
    <n v="4.7300000000000004"/>
    <s v="Low"/>
  </r>
  <r>
    <n v="26093"/>
    <s v="ID-2014-55338"/>
    <d v="2016-05-08T00:00:00"/>
    <d v="2016-05-14T00:00:00"/>
    <s v="Standard Class"/>
    <s v="JW-15220"/>
    <s v="Jane Waco"/>
    <x v="1"/>
    <x v="0"/>
    <x v="0"/>
    <x v="0"/>
    <m/>
    <s v="APAC"/>
    <s v="Southeast Asia"/>
    <s v="FUR-BO-10001934"/>
    <x v="2"/>
    <s v="Bookcases"/>
    <s v="Bush Library with Doors, Metal"/>
    <n v="945.82800000000009"/>
    <n v="4"/>
    <n v="0.35"/>
    <n v="-392.89200000000005"/>
    <n v="57.02"/>
    <s v="Medium"/>
  </r>
  <r>
    <n v="22772"/>
    <s v="ID-2012-37642"/>
    <d v="2014-10-08T00:00:00"/>
    <d v="2014-10-14T00:00:00"/>
    <s v="Standard Class"/>
    <s v="CB-12025"/>
    <s v="Cassandra Brandow"/>
    <x v="2"/>
    <x v="0"/>
    <x v="0"/>
    <x v="0"/>
    <m/>
    <s v="APAC"/>
    <s v="Southeast Asia"/>
    <s v="FUR-BO-10001934"/>
    <x v="2"/>
    <s v="Bookcases"/>
    <s v="Bush Library with Doors, Metal"/>
    <n v="945.82800000000009"/>
    <n v="4"/>
    <n v="0.35"/>
    <n v="-392.89200000000005"/>
    <n v="33.99"/>
    <s v="Medium"/>
  </r>
  <r>
    <n v="26448"/>
    <s v="IN-2013-18980"/>
    <d v="2015-08-16T00:00:00"/>
    <d v="2015-08-23T00:00:00"/>
    <s v="Standard Class"/>
    <s v="SM-20905"/>
    <s v="Susan MacKendrick"/>
    <x v="2"/>
    <x v="0"/>
    <x v="0"/>
    <x v="0"/>
    <m/>
    <s v="APAC"/>
    <s v="Southeast Asia"/>
    <s v="OFF-AP-10003945"/>
    <x v="0"/>
    <s v="Appliances"/>
    <s v="Hamilton Beach Stove, Red"/>
    <n v="921.97800000000007"/>
    <n v="2"/>
    <n v="0.15000000000000002"/>
    <n v="216.91799999999998"/>
    <n v="66.23"/>
    <s v="Low"/>
  </r>
  <r>
    <n v="22701"/>
    <s v="ID-2011-47575"/>
    <d v="2013-02-15T00:00:00"/>
    <d v="2013-02-21T00:00:00"/>
    <s v="Standard Class"/>
    <s v="CM-12385"/>
    <s v="Christopher Martinez"/>
    <x v="2"/>
    <x v="0"/>
    <x v="0"/>
    <x v="0"/>
    <m/>
    <s v="APAC"/>
    <s v="Southeast Asia"/>
    <s v="TEC-PH-10001921"/>
    <x v="1"/>
    <s v="Phones"/>
    <s v="Nokia Signal Booster, with Caller ID"/>
    <n v="921.375"/>
    <n v="9"/>
    <n v="0.25"/>
    <n v="-172.125"/>
    <n v="128.01"/>
    <s v="Low"/>
  </r>
  <r>
    <n v="23503"/>
    <s v="IN-2013-25245"/>
    <d v="2015-04-17T00:00:00"/>
    <d v="2015-04-22T00:00:00"/>
    <s v="Standard Class"/>
    <s v="JH-15985"/>
    <s v="Joseph Holt"/>
    <x v="2"/>
    <x v="0"/>
    <x v="0"/>
    <x v="0"/>
    <m/>
    <s v="APAC"/>
    <s v="Southeast Asia"/>
    <s v="FUR-CH-10003965"/>
    <x v="2"/>
    <s v="Chairs"/>
    <s v="Hon Rocking Chair, Red"/>
    <n v="881.68500000000006"/>
    <n v="9"/>
    <n v="0.25"/>
    <n v="164.565"/>
    <n v="102.13"/>
    <s v="Medium"/>
  </r>
  <r>
    <n v="21283"/>
    <s v="ID-2014-57501"/>
    <d v="2016-06-19T00:00:00"/>
    <d v="2016-06-22T00:00:00"/>
    <s v="First Class"/>
    <s v="DM-13015"/>
    <s v="Darrin Martin"/>
    <x v="2"/>
    <x v="0"/>
    <x v="0"/>
    <x v="0"/>
    <m/>
    <s v="APAC"/>
    <s v="Southeast Asia"/>
    <s v="OFF-ST-10000103"/>
    <x v="0"/>
    <s v="Storage"/>
    <s v="Smead Lockers, Industrial"/>
    <n v="875.16"/>
    <n v="8"/>
    <n v="0.45"/>
    <n v="-493.32"/>
    <n v="20.420000000000002"/>
    <s v="Medium"/>
  </r>
  <r>
    <n v="25609"/>
    <s v="ID-2011-30922"/>
    <d v="2013-11-28T00:00:00"/>
    <d v="2013-12-03T00:00:00"/>
    <s v="Standard Class"/>
    <s v="AG-10330"/>
    <s v="Alex Grayson"/>
    <x v="2"/>
    <x v="11"/>
    <x v="2"/>
    <x v="0"/>
    <m/>
    <s v="APAC"/>
    <s v="Southeast Asia"/>
    <s v="FUR-TA-10000360"/>
    <x v="2"/>
    <s v="Tables"/>
    <s v="Chromcraft Wood Table, Fully Assembled"/>
    <n v="871.1819999999999"/>
    <n v="4"/>
    <n v="0.55000000000000004"/>
    <n v="-387.25800000000004"/>
    <n v="59.11"/>
    <s v="Medium"/>
  </r>
  <r>
    <n v="29838"/>
    <s v="ID-2012-62240"/>
    <d v="2014-04-19T00:00:00"/>
    <d v="2014-04-24T00:00:00"/>
    <s v="Standard Class"/>
    <s v="BD-11605"/>
    <s v="Brian Dahlen"/>
    <x v="2"/>
    <x v="0"/>
    <x v="0"/>
    <x v="0"/>
    <m/>
    <s v="APAC"/>
    <s v="Southeast Asia"/>
    <s v="FUR-BO-10001212"/>
    <x v="2"/>
    <s v="Bookcases"/>
    <s v="Safco Classic Bookcase, Mobile"/>
    <n v="859.30649999999991"/>
    <n v="3"/>
    <n v="0.35"/>
    <n v="-317.35349999999994"/>
    <n v="69.78"/>
    <s v="Medium"/>
  </r>
  <r>
    <n v="29829"/>
    <s v="ID-2011-31699"/>
    <d v="2013-12-08T00:00:00"/>
    <d v="2013-12-12T00:00:00"/>
    <s v="Standard Class"/>
    <s v="PM-19135"/>
    <s v="Peter McVee"/>
    <x v="0"/>
    <x v="0"/>
    <x v="0"/>
    <x v="0"/>
    <m/>
    <s v="APAC"/>
    <s v="Southeast Asia"/>
    <s v="FUR-BO-10002031"/>
    <x v="2"/>
    <s v="Bookcases"/>
    <s v="Sauder Classic Bookcase, Pine"/>
    <n v="852.8130000000001"/>
    <n v="3"/>
    <n v="0.35"/>
    <n v="-170.577"/>
    <n v="58.37"/>
    <s v="Medium"/>
  </r>
  <r>
    <n v="26770"/>
    <s v="ID-2014-60665"/>
    <d v="2016-08-13T00:00:00"/>
    <d v="2016-08-18T00:00:00"/>
    <s v="Standard Class"/>
    <s v="LC-16960"/>
    <s v="Lindsay Castell"/>
    <x v="0"/>
    <x v="0"/>
    <x v="0"/>
    <x v="0"/>
    <m/>
    <s v="APAC"/>
    <s v="Southeast Asia"/>
    <s v="TEC-MA-10002874"/>
    <x v="1"/>
    <s v="Machines"/>
    <s v="Epson Receipt Printer, Wireless"/>
    <n v="789.9525000000001"/>
    <n v="9"/>
    <n v="0.25"/>
    <n v="-10.597500000000025"/>
    <n v="77.14"/>
    <s v="High"/>
  </r>
  <r>
    <n v="26694"/>
    <s v="ID-2014-35269"/>
    <d v="2016-01-08T00:00:00"/>
    <d v="2016-01-08T00:00:00"/>
    <s v="Same Day"/>
    <s v="JC-15340"/>
    <s v="Jasper Cacioppo"/>
    <x v="2"/>
    <x v="0"/>
    <x v="0"/>
    <x v="0"/>
    <m/>
    <s v="APAC"/>
    <s v="Southeast Asia"/>
    <s v="FUR-BO-10001216"/>
    <x v="2"/>
    <s v="Bookcases"/>
    <s v="Sauder 3-Shelf Cabinet, Mobile"/>
    <n v="769.86000000000013"/>
    <n v="7"/>
    <n v="0.35"/>
    <n v="59.21999999999997"/>
    <n v="87.47"/>
    <s v="Critical"/>
  </r>
  <r>
    <n v="29381"/>
    <s v="ID-2011-33295"/>
    <d v="2013-08-13T00:00:00"/>
    <d v="2013-08-17T00:00:00"/>
    <s v="Standard Class"/>
    <s v="CC-12475"/>
    <s v="Cindy Chapman"/>
    <x v="2"/>
    <x v="0"/>
    <x v="0"/>
    <x v="0"/>
    <m/>
    <s v="APAC"/>
    <s v="Southeast Asia"/>
    <s v="FUR-CH-10003097"/>
    <x v="2"/>
    <s v="Chairs"/>
    <s v="Hon Rocking Chair, Black"/>
    <n v="769.14"/>
    <n v="8"/>
    <n v="0.25"/>
    <n v="-20.699999999999989"/>
    <n v="74.709999999999994"/>
    <s v="High"/>
  </r>
  <r>
    <n v="29128"/>
    <s v="ID-2012-22550"/>
    <d v="2014-11-13T00:00:00"/>
    <d v="2014-11-17T00:00:00"/>
    <s v="Standard Class"/>
    <s v="BD-11620"/>
    <s v="Brian DeCherney"/>
    <x v="2"/>
    <x v="0"/>
    <x v="0"/>
    <x v="0"/>
    <m/>
    <s v="APAC"/>
    <s v="Southeast Asia"/>
    <s v="OFF-ST-10003931"/>
    <x v="0"/>
    <s v="Storage"/>
    <s v="Smead Lockers, Blue"/>
    <n v="763.91700000000014"/>
    <n v="7"/>
    <n v="0.45"/>
    <n v="-416.70300000000015"/>
    <n v="75.86"/>
    <s v="High"/>
  </r>
  <r>
    <n v="26094"/>
    <s v="ID-2014-55338"/>
    <d v="2016-05-08T00:00:00"/>
    <d v="2016-05-14T00:00:00"/>
    <s v="Standard Class"/>
    <s v="JW-15220"/>
    <s v="Jane Waco"/>
    <x v="1"/>
    <x v="0"/>
    <x v="0"/>
    <x v="0"/>
    <m/>
    <s v="APAC"/>
    <s v="Southeast Asia"/>
    <s v="FUR-CH-10001147"/>
    <x v="2"/>
    <s v="Chairs"/>
    <s v="Hon Swivel Stool, Adjustable"/>
    <n v="747.63000000000022"/>
    <n v="6"/>
    <n v="0.25"/>
    <n v="-159.57000000000005"/>
    <n v="63.59"/>
    <s v="Medium"/>
  </r>
  <r>
    <n v="24863"/>
    <s v="ID-2014-33638"/>
    <d v="2016-02-28T00:00:00"/>
    <d v="2016-03-05T00:00:00"/>
    <s v="Standard Class"/>
    <s v="MO-17800"/>
    <s v="Meg O'Connel"/>
    <x v="0"/>
    <x v="0"/>
    <x v="0"/>
    <x v="0"/>
    <m/>
    <s v="APAC"/>
    <s v="Southeast Asia"/>
    <s v="TEC-CO-10002316"/>
    <x v="1"/>
    <s v="Copiers"/>
    <s v="Brother Personal Copier, Laser"/>
    <n v="743.02800000000013"/>
    <n v="8"/>
    <n v="0.35"/>
    <n v="-114.49200000000002"/>
    <n v="55.15"/>
    <s v="Medium"/>
  </r>
  <r>
    <n v="22558"/>
    <s v="ID-2014-62289"/>
    <d v="2016-08-03T00:00:00"/>
    <d v="2016-08-07T00:00:00"/>
    <s v="Standard Class"/>
    <s v="RB-19645"/>
    <s v="Robert Barroso"/>
    <x v="1"/>
    <x v="0"/>
    <x v="0"/>
    <x v="0"/>
    <m/>
    <s v="APAC"/>
    <s v="Southeast Asia"/>
    <s v="TEC-CO-10001654"/>
    <x v="1"/>
    <s v="Copiers"/>
    <s v="Hewlett Wireless Fax, Digital"/>
    <n v="740.66849999999999"/>
    <n v="3"/>
    <n v="0.35"/>
    <n v="68.368499999999983"/>
    <n v="13.01"/>
    <s v="Medium"/>
  </r>
  <r>
    <n v="22698"/>
    <s v="ID-2011-10706"/>
    <d v="2013-04-18T00:00:00"/>
    <d v="2013-04-22T00:00:00"/>
    <s v="Standard Class"/>
    <s v="LO-17170"/>
    <s v="Lori Olson"/>
    <x v="1"/>
    <x v="0"/>
    <x v="0"/>
    <x v="0"/>
    <m/>
    <s v="APAC"/>
    <s v="Southeast Asia"/>
    <s v="FUR-FU-10001246"/>
    <x v="2"/>
    <s v="Furnishings"/>
    <s v="Advantus Frame, Durable"/>
    <n v="730.01250000000005"/>
    <n v="9"/>
    <n v="0.25"/>
    <n v="-38.947499999999991"/>
    <n v="57.02"/>
    <s v="High"/>
  </r>
  <r>
    <n v="27852"/>
    <s v="ID-2013-20471"/>
    <d v="2015-01-09T00:00:00"/>
    <d v="2015-01-12T00:00:00"/>
    <s v="First Class"/>
    <s v="LF-17185"/>
    <s v="Luke Foster"/>
    <x v="2"/>
    <x v="7"/>
    <x v="3"/>
    <x v="0"/>
    <m/>
    <s v="APAC"/>
    <s v="Southeast Asia"/>
    <s v="FUR-TA-10002571"/>
    <x v="2"/>
    <s v="Tables"/>
    <s v="Chromcraft Coffee Table, Adjustable Height"/>
    <n v="727.05599999999981"/>
    <n v="6"/>
    <n v="0.55000000000000004"/>
    <n v="-387.86399999999986"/>
    <n v="96.29"/>
    <s v="Medium"/>
  </r>
  <r>
    <n v="26771"/>
    <s v="ID-2014-60665"/>
    <d v="2016-08-13T00:00:00"/>
    <d v="2016-08-18T00:00:00"/>
    <s v="Standard Class"/>
    <s v="LC-16960"/>
    <s v="Lindsay Castell"/>
    <x v="0"/>
    <x v="0"/>
    <x v="0"/>
    <x v="0"/>
    <m/>
    <s v="APAC"/>
    <s v="Southeast Asia"/>
    <s v="FUR-BO-10002204"/>
    <x v="2"/>
    <s v="Bookcases"/>
    <s v="Bush Corner Shelving, Traditional"/>
    <n v="725.3415"/>
    <n v="9"/>
    <n v="0.35"/>
    <n v="122.70150000000001"/>
    <n v="64"/>
    <s v="High"/>
  </r>
  <r>
    <n v="28716"/>
    <s v="ID-2014-45083"/>
    <d v="2016-08-16T00:00:00"/>
    <d v="2016-08-19T00:00:00"/>
    <s v="Second Class"/>
    <s v="BD-11620"/>
    <s v="Brian DeCherney"/>
    <x v="2"/>
    <x v="0"/>
    <x v="0"/>
    <x v="0"/>
    <m/>
    <s v="APAC"/>
    <s v="Southeast Asia"/>
    <s v="FUR-TA-10001113"/>
    <x v="2"/>
    <s v="Tables"/>
    <s v="Barricks Training Table, Fully Assembled"/>
    <n v="719.48249999999985"/>
    <n v="5"/>
    <n v="0.55000000000000004"/>
    <n v="-143.91750000000002"/>
    <n v="61.48"/>
    <s v="Medium"/>
  </r>
  <r>
    <n v="23182"/>
    <s v="ID-2014-68099"/>
    <d v="2016-02-04T00:00:00"/>
    <d v="2016-02-07T00:00:00"/>
    <s v="First Class"/>
    <s v="MF-18250"/>
    <s v="Monica Federle"/>
    <x v="1"/>
    <x v="0"/>
    <x v="0"/>
    <x v="0"/>
    <m/>
    <s v="APAC"/>
    <s v="Southeast Asia"/>
    <s v="FUR-CH-10001322"/>
    <x v="2"/>
    <s v="Chairs"/>
    <s v="Harbour Creations Executive Leather Armchair, Adjustable"/>
    <n v="714.15"/>
    <n v="2"/>
    <n v="0.25"/>
    <n v="-28.590000000000003"/>
    <n v="175.43"/>
    <s v="Medium"/>
  </r>
  <r>
    <n v="29135"/>
    <s v="ID-2013-66258"/>
    <d v="2015-04-26T00:00:00"/>
    <d v="2015-05-03T00:00:00"/>
    <s v="Standard Class"/>
    <s v="BE-11410"/>
    <s v="Bobby Elias"/>
    <x v="2"/>
    <x v="7"/>
    <x v="3"/>
    <x v="0"/>
    <m/>
    <s v="APAC"/>
    <s v="Southeast Asia"/>
    <s v="FUR-BO-10003783"/>
    <x v="2"/>
    <s v="Bookcases"/>
    <s v="Dania Library with Doors, Pine"/>
    <n v="709.3125"/>
    <n v="3"/>
    <n v="0.35"/>
    <n v="-185.55749999999992"/>
    <n v="90.43"/>
    <s v="Low"/>
  </r>
  <r>
    <n v="28594"/>
    <s v="ID-2014-73678"/>
    <d v="2016-10-23T00:00:00"/>
    <d v="2016-10-28T00:00:00"/>
    <s v="Standard Class"/>
    <s v="AO-10810"/>
    <s v="Anthony O'Donnell"/>
    <x v="1"/>
    <x v="3"/>
    <x v="0"/>
    <x v="0"/>
    <m/>
    <s v="APAC"/>
    <s v="Southeast Asia"/>
    <s v="TEC-MA-10002701"/>
    <x v="1"/>
    <s v="Machines"/>
    <s v="Konica Inkjet, Durable"/>
    <n v="701.66250000000002"/>
    <n v="3"/>
    <n v="0.25"/>
    <n v="177.68249999999998"/>
    <n v="51.41"/>
    <s v="Medium"/>
  </r>
  <r>
    <n v="26693"/>
    <s v="ID-2014-35269"/>
    <d v="2016-01-08T00:00:00"/>
    <d v="2016-01-08T00:00:00"/>
    <s v="Same Day"/>
    <s v="JC-15340"/>
    <s v="Jasper Cacioppo"/>
    <x v="2"/>
    <x v="0"/>
    <x v="0"/>
    <x v="0"/>
    <m/>
    <s v="APAC"/>
    <s v="Southeast Asia"/>
    <s v="TEC-CO-10004170"/>
    <x v="1"/>
    <s v="Copiers"/>
    <s v="HP Wireless Fax, High-Speed"/>
    <n v="698.89949999999999"/>
    <n v="3"/>
    <n v="0.35"/>
    <n v="-32.260499999999979"/>
    <n v="140.77000000000001"/>
    <s v="Critical"/>
  </r>
  <r>
    <n v="24547"/>
    <s v="IN-2012-44705"/>
    <d v="2014-11-07T00:00:00"/>
    <d v="2014-11-11T00:00:00"/>
    <s v="Standard Class"/>
    <s v="ER-13855"/>
    <s v="Elpida Rittenbach"/>
    <x v="1"/>
    <x v="0"/>
    <x v="0"/>
    <x v="0"/>
    <m/>
    <s v="APAC"/>
    <s v="Southeast Asia"/>
    <s v="FUR-CH-10002573"/>
    <x v="2"/>
    <s v="Chairs"/>
    <s v="Office Star Executive Leather Armchair, Adjustable"/>
    <n v="697.49999999999977"/>
    <n v="2"/>
    <n v="0.25"/>
    <n v="-74.39999999999992"/>
    <n v="72.709999999999994"/>
    <s v="Medium"/>
  </r>
  <r>
    <n v="28175"/>
    <s v="IN-2011-79761"/>
    <d v="2013-01-11T00:00:00"/>
    <d v="2013-01-16T00:00:00"/>
    <s v="Standard Class"/>
    <s v="SC-20680"/>
    <s v="Steve Carroll"/>
    <x v="0"/>
    <x v="12"/>
    <x v="2"/>
    <x v="0"/>
    <m/>
    <s v="APAC"/>
    <s v="Southeast Asia"/>
    <s v="TEC-CO-10001895"/>
    <x v="1"/>
    <s v="Copiers"/>
    <s v="Sharp Wireless Fax, Color"/>
    <n v="696.85199999999998"/>
    <n v="3"/>
    <n v="0.35"/>
    <n v="-343.09799999999996"/>
    <n v="40.159999999999997"/>
    <s v="Medium"/>
  </r>
  <r>
    <n v="28880"/>
    <s v="ID-2014-10160"/>
    <d v="2016-09-02T00:00:00"/>
    <d v="2016-09-04T00:00:00"/>
    <s v="Second Class"/>
    <s v="RF-19345"/>
    <s v="Randy Ferguson"/>
    <x v="1"/>
    <x v="0"/>
    <x v="0"/>
    <x v="0"/>
    <m/>
    <s v="APAC"/>
    <s v="Southeast Asia"/>
    <s v="FUR-CH-10002872"/>
    <x v="2"/>
    <s v="Chairs"/>
    <s v="SAFCO Executive Leather Armchair, Adjustable"/>
    <n v="695.87999999999988"/>
    <n v="2"/>
    <n v="0.25"/>
    <n v="-167.03999999999996"/>
    <n v="59.77"/>
    <s v="Critical"/>
  </r>
  <r>
    <n v="23101"/>
    <s v="ID-2011-66412"/>
    <d v="2013-03-30T00:00:00"/>
    <d v="2013-04-03T00:00:00"/>
    <s v="Standard Class"/>
    <s v="AF-10870"/>
    <s v="Art Ferguson"/>
    <x v="2"/>
    <x v="0"/>
    <x v="0"/>
    <x v="0"/>
    <m/>
    <s v="APAC"/>
    <s v="Southeast Asia"/>
    <s v="FUR-CH-10002872"/>
    <x v="2"/>
    <s v="Chairs"/>
    <s v="SAFCO Executive Leather Armchair, Adjustable"/>
    <n v="695.87999999999988"/>
    <n v="2"/>
    <n v="0.25"/>
    <n v="-167.03999999999996"/>
    <n v="50.9"/>
    <s v="Medium"/>
  </r>
  <r>
    <n v="27797"/>
    <s v="IN-2014-20408"/>
    <d v="2016-06-11T00:00:00"/>
    <d v="2016-06-15T00:00:00"/>
    <s v="Standard Class"/>
    <s v="SS-20140"/>
    <s v="Saphhira Shifley"/>
    <x v="1"/>
    <x v="0"/>
    <x v="0"/>
    <x v="0"/>
    <m/>
    <s v="APAC"/>
    <s v="Southeast Asia"/>
    <s v="FUR-CH-10003965"/>
    <x v="2"/>
    <s v="Chairs"/>
    <s v="Hon Rocking Chair, Red"/>
    <n v="685.755"/>
    <n v="7"/>
    <n v="0.25"/>
    <n v="127.99499999999998"/>
    <n v="39.6"/>
    <s v="Medium"/>
  </r>
  <r>
    <n v="20311"/>
    <s v="ID-2014-39084"/>
    <d v="2016-06-13T00:00:00"/>
    <d v="2016-06-17T00:00:00"/>
    <s v="Standard Class"/>
    <s v="PO-18865"/>
    <s v="Patrick O'Donnell"/>
    <x v="2"/>
    <x v="10"/>
    <x v="5"/>
    <x v="0"/>
    <m/>
    <s v="APAC"/>
    <s v="Southeast Asia"/>
    <s v="TEC-CO-10000666"/>
    <x v="1"/>
    <s v="Copiers"/>
    <s v="Hewlett Copy Machine, Laser"/>
    <n v="684.60599999999999"/>
    <n v="4"/>
    <n v="0.35"/>
    <n v="-63.23399999999998"/>
    <n v="65.010000000000005"/>
    <s v="Medium"/>
  </r>
  <r>
    <n v="28570"/>
    <s v="ID-2014-54442"/>
    <d v="2016-12-31T00:00:00"/>
    <d v="2015-01-04T00:00:00"/>
    <s v="Standard Class"/>
    <s v="MY-18295"/>
    <s v="Muhammed Yedwab"/>
    <x v="1"/>
    <x v="0"/>
    <x v="0"/>
    <x v="0"/>
    <m/>
    <s v="APAC"/>
    <s v="Southeast Asia"/>
    <s v="TEC-CO-10000666"/>
    <x v="1"/>
    <s v="Copiers"/>
    <s v="Hewlett Copy Machine, Laser"/>
    <n v="684.60599999999999"/>
    <n v="4"/>
    <n v="0.35"/>
    <n v="-63.23399999999998"/>
    <n v="42.92"/>
    <s v="Medium"/>
  </r>
  <r>
    <n v="29342"/>
    <s v="IN-2013-11679"/>
    <d v="2015-11-02T00:00:00"/>
    <d v="2015-11-08T00:00:00"/>
    <s v="Standard Class"/>
    <s v="EJ-13720"/>
    <s v="Ed Jacobs"/>
    <x v="2"/>
    <x v="0"/>
    <x v="0"/>
    <x v="0"/>
    <m/>
    <s v="APAC"/>
    <s v="Southeast Asia"/>
    <s v="FUR-CH-10003836"/>
    <x v="2"/>
    <s v="Chairs"/>
    <s v="Harbour Creations Rocking Chair, Red"/>
    <n v="661.90499999999986"/>
    <n v="6"/>
    <n v="0.25"/>
    <n v="8.6850000000000307"/>
    <n v="100.71"/>
    <s v="Low"/>
  </r>
  <r>
    <n v="26605"/>
    <s v="ID-2014-35836"/>
    <d v="2016-05-30T00:00:00"/>
    <d v="2016-06-04T00:00:00"/>
    <s v="Standard Class"/>
    <s v="MH-17620"/>
    <s v="Matt Hagelstein"/>
    <x v="1"/>
    <x v="0"/>
    <x v="0"/>
    <x v="0"/>
    <m/>
    <s v="APAC"/>
    <s v="Southeast Asia"/>
    <s v="TEC-MA-10003631"/>
    <x v="1"/>
    <s v="Machines"/>
    <s v="Okidata Card Printer, Wireless"/>
    <n v="659.36249999999995"/>
    <n v="5"/>
    <n v="0.25"/>
    <n v="-184.68749999999997"/>
    <n v="77.66"/>
    <s v="Medium"/>
  </r>
  <r>
    <n v="26257"/>
    <s v="ID-2014-28066"/>
    <d v="2016-09-01T00:00:00"/>
    <d v="2016-09-05T00:00:00"/>
    <s v="Standard Class"/>
    <s v="CS-11950"/>
    <s v="Carlos Soltero"/>
    <x v="2"/>
    <x v="0"/>
    <x v="0"/>
    <x v="0"/>
    <m/>
    <s v="APAC"/>
    <s v="Southeast Asia"/>
    <s v="OFF-ST-10003203"/>
    <x v="0"/>
    <s v="Storage"/>
    <s v="Eldon Lockers, Wire Frame"/>
    <n v="650.03399999999999"/>
    <n v="6"/>
    <n v="0.45"/>
    <n v="-23.706000000000017"/>
    <n v="31.76"/>
    <s v="Medium"/>
  </r>
  <r>
    <n v="24817"/>
    <s v="ID-2013-66104"/>
    <d v="2015-03-04T00:00:00"/>
    <d v="2015-03-09T00:00:00"/>
    <s v="Second Class"/>
    <s v="HA-14905"/>
    <s v="Helen Abelman"/>
    <x v="2"/>
    <x v="0"/>
    <x v="0"/>
    <x v="0"/>
    <m/>
    <s v="APAC"/>
    <s v="Southeast Asia"/>
    <s v="TEC-PH-10004559"/>
    <x v="1"/>
    <s v="Phones"/>
    <s v="Nokia Speaker Phone, with Caller ID"/>
    <n v="646.53750000000002"/>
    <n v="7"/>
    <n v="0.25"/>
    <n v="-17.27249999999998"/>
    <n v="67.989999999999995"/>
    <s v="Medium"/>
  </r>
  <r>
    <n v="21066"/>
    <s v="ID-2013-75008"/>
    <d v="2015-12-14T00:00:00"/>
    <d v="2015-12-19T00:00:00"/>
    <s v="Standard Class"/>
    <s v="RR-19525"/>
    <s v="Rick Reed"/>
    <x v="1"/>
    <x v="0"/>
    <x v="0"/>
    <x v="0"/>
    <m/>
    <s v="APAC"/>
    <s v="Southeast Asia"/>
    <s v="TEC-CO-10003353"/>
    <x v="1"/>
    <s v="Copiers"/>
    <s v="HP Personal Copier, High-Speed"/>
    <n v="636.94799999999998"/>
    <n v="8"/>
    <n v="0.35"/>
    <n v="-333.37199999999996"/>
    <n v="32.1"/>
    <s v="Medium"/>
  </r>
  <r>
    <n v="23547"/>
    <s v="IN-2012-29046"/>
    <d v="2014-08-23T00:00:00"/>
    <d v="2014-08-26T00:00:00"/>
    <s v="Second Class"/>
    <s v="NP-18685"/>
    <s v="Nora Pelletier"/>
    <x v="0"/>
    <x v="0"/>
    <x v="0"/>
    <x v="0"/>
    <m/>
    <s v="APAC"/>
    <s v="Southeast Asia"/>
    <s v="FUR-TA-10004342"/>
    <x v="2"/>
    <s v="Tables"/>
    <s v="Chromcraft Round Table, with Bottom Storage"/>
    <n v="630.58500000000004"/>
    <n v="3"/>
    <n v="0.55000000000000004"/>
    <n v="-140.17500000000018"/>
    <n v="50.62"/>
    <s v="High"/>
  </r>
  <r>
    <n v="22346"/>
    <s v="IN-2014-51033"/>
    <d v="2016-09-09T00:00:00"/>
    <d v="2016-09-14T00:00:00"/>
    <s v="Standard Class"/>
    <s v="CA-11965"/>
    <s v="Carol Adams"/>
    <x v="1"/>
    <x v="0"/>
    <x v="0"/>
    <x v="0"/>
    <m/>
    <s v="APAC"/>
    <s v="Southeast Asia"/>
    <s v="TEC-MA-10000572"/>
    <x v="1"/>
    <s v="Machines"/>
    <s v="Epson Card Printer, Red"/>
    <n v="626.62500000000011"/>
    <n v="5"/>
    <n v="0.25"/>
    <n v="91.874999999999972"/>
    <n v="54.85"/>
    <s v="Medium"/>
  </r>
  <r>
    <n v="20656"/>
    <s v="ID-2013-17097"/>
    <d v="2015-12-17T00:00:00"/>
    <d v="2015-12-22T00:00:00"/>
    <s v="Second Class"/>
    <s v="EP-13915"/>
    <s v="Emily Phan"/>
    <x v="2"/>
    <x v="0"/>
    <x v="0"/>
    <x v="0"/>
    <m/>
    <s v="APAC"/>
    <s v="Southeast Asia"/>
    <s v="TEC-PH-10002806"/>
    <x v="1"/>
    <s v="Phones"/>
    <s v="Apple Audio Dock, VoIP"/>
    <n v="626.17500000000007"/>
    <n v="5"/>
    <n v="0.25"/>
    <n v="-16.724999999999994"/>
    <n v="47.21"/>
    <s v="Medium"/>
  </r>
  <r>
    <n v="23907"/>
    <s v="ID-2013-42423"/>
    <d v="2015-10-15T00:00:00"/>
    <d v="2015-10-19T00:00:00"/>
    <s v="Second Class"/>
    <s v="CA-12265"/>
    <s v="Christina Anderson"/>
    <x v="2"/>
    <x v="0"/>
    <x v="0"/>
    <x v="0"/>
    <m/>
    <s v="APAC"/>
    <s v="Southeast Asia"/>
    <s v="TEC-CO-10000786"/>
    <x v="1"/>
    <s v="Copiers"/>
    <s v="Canon Fax Machine, Color"/>
    <n v="623.66849999999999"/>
    <n v="3"/>
    <n v="0.35"/>
    <n v="-153.57149999999996"/>
    <n v="39.28"/>
    <s v="High"/>
  </r>
  <r>
    <n v="21658"/>
    <s v="IN-2012-58754"/>
    <d v="2014-07-26T00:00:00"/>
    <d v="2014-07-26T00:00:00"/>
    <s v="Same Day"/>
    <s v="SW-20755"/>
    <s v="Steven Ward"/>
    <x v="1"/>
    <x v="0"/>
    <x v="0"/>
    <x v="0"/>
    <m/>
    <s v="APAC"/>
    <s v="Southeast Asia"/>
    <s v="TEC-CO-10001766"/>
    <x v="1"/>
    <s v="Copiers"/>
    <s v="Canon Fax Machine, Digital"/>
    <n v="620.15850000000012"/>
    <n v="3"/>
    <n v="0.35"/>
    <n v="-314.85150000000004"/>
    <n v="129.71"/>
    <s v="Medium"/>
  </r>
  <r>
    <n v="25003"/>
    <s v="ID-2012-45363"/>
    <d v="2014-06-29T00:00:00"/>
    <d v="2014-07-06T00:00:00"/>
    <s v="Standard Class"/>
    <s v="JG-15805"/>
    <s v="John Grady"/>
    <x v="1"/>
    <x v="13"/>
    <x v="0"/>
    <x v="0"/>
    <m/>
    <s v="APAC"/>
    <s v="Southeast Asia"/>
    <s v="TEC-CO-10001766"/>
    <x v="1"/>
    <s v="Copiers"/>
    <s v="Canon Fax Machine, Digital"/>
    <n v="620.15850000000012"/>
    <n v="3"/>
    <n v="0.35"/>
    <n v="-314.85150000000004"/>
    <n v="42.89"/>
    <s v="Medium"/>
  </r>
  <r>
    <n v="22033"/>
    <s v="ID-2014-10356"/>
    <d v="2016-04-18T00:00:00"/>
    <d v="2016-04-22T00:00:00"/>
    <s v="Standard Class"/>
    <s v="HZ-14950"/>
    <s v="Henia Zydlo"/>
    <x v="2"/>
    <x v="0"/>
    <x v="0"/>
    <x v="0"/>
    <m/>
    <s v="APAC"/>
    <s v="Southeast Asia"/>
    <s v="FUR-TA-10003055"/>
    <x v="2"/>
    <s v="Tables"/>
    <s v="Lesro Round Table, Fully Assembled"/>
    <n v="612.19799999999998"/>
    <n v="3"/>
    <n v="0.55000000000000004"/>
    <n v="-81.702000000000226"/>
    <n v="40.47"/>
    <s v="Medium"/>
  </r>
  <r>
    <n v="22548"/>
    <s v="ID-2012-72558"/>
    <d v="2014-11-28T00:00:00"/>
    <d v="2014-12-03T00:00:00"/>
    <s v="Standard Class"/>
    <s v="PR-18880"/>
    <s v="Patrick Ryan"/>
    <x v="2"/>
    <x v="0"/>
    <x v="0"/>
    <x v="0"/>
    <m/>
    <s v="APAC"/>
    <s v="Southeast Asia"/>
    <s v="FUR-TA-10003747"/>
    <x v="2"/>
    <s v="Tables"/>
    <s v="Lesro Round Table, Rectangular"/>
    <n v="606.93299999999999"/>
    <n v="3"/>
    <n v="0.55000000000000004"/>
    <n v="-418.16700000000014"/>
    <n v="42.39"/>
    <s v="Medium"/>
  </r>
  <r>
    <n v="23414"/>
    <s v="IN-2014-54547"/>
    <d v="2016-02-14T00:00:00"/>
    <d v="2016-02-19T00:00:00"/>
    <s v="Standard Class"/>
    <s v="TB-21400"/>
    <s v="Tom Boeckenhauer"/>
    <x v="2"/>
    <x v="0"/>
    <x v="0"/>
    <x v="0"/>
    <m/>
    <s v="APAC"/>
    <s v="Southeast Asia"/>
    <s v="FUR-CH-10003551"/>
    <x v="2"/>
    <s v="Chairs"/>
    <s v="Hon Swivel Stool, Black"/>
    <n v="604.57500000000005"/>
    <n v="5"/>
    <n v="0.25"/>
    <n v="185.32499999999999"/>
    <n v="39.57"/>
    <s v="Medium"/>
  </r>
  <r>
    <n v="20310"/>
    <s v="ID-2011-65117"/>
    <d v="2013-07-11T00:00:00"/>
    <d v="2013-07-15T00:00:00"/>
    <s v="Standard Class"/>
    <s v="SW-20245"/>
    <s v="Scot Wooten"/>
    <x v="2"/>
    <x v="0"/>
    <x v="0"/>
    <x v="0"/>
    <m/>
    <s v="APAC"/>
    <s v="Southeast Asia"/>
    <s v="FUR-CH-10001871"/>
    <x v="2"/>
    <s v="Chairs"/>
    <s v="Harbour Creations Steel Folding Chair, Set of Two"/>
    <n v="600.84000000000015"/>
    <n v="8"/>
    <n v="0.25"/>
    <n v="-152.28000000000003"/>
    <n v="63.81"/>
    <s v="High"/>
  </r>
  <r>
    <n v="20480"/>
    <s v="ID-2012-61722"/>
    <d v="2014-11-13T00:00:00"/>
    <d v="2014-11-16T00:00:00"/>
    <s v="First Class"/>
    <s v="TC-21145"/>
    <s v="Theresa Coyne"/>
    <x v="1"/>
    <x v="0"/>
    <x v="0"/>
    <x v="0"/>
    <m/>
    <s v="APAC"/>
    <s v="Southeast Asia"/>
    <s v="FUR-CH-10002224"/>
    <x v="2"/>
    <s v="Chairs"/>
    <s v="Hon Rocking Chair, Set of Two"/>
    <n v="597.91499999999996"/>
    <n v="6"/>
    <n v="0.25"/>
    <n v="-167.44499999999999"/>
    <n v="75.53"/>
    <s v="Medium"/>
  </r>
  <r>
    <n v="20307"/>
    <s v="ID-2011-65117"/>
    <d v="2013-07-11T00:00:00"/>
    <d v="2013-07-15T00:00:00"/>
    <s v="Standard Class"/>
    <s v="SW-20245"/>
    <s v="Scot Wooten"/>
    <x v="2"/>
    <x v="0"/>
    <x v="0"/>
    <x v="0"/>
    <m/>
    <s v="APAC"/>
    <s v="Southeast Asia"/>
    <s v="TEC-PH-10001354"/>
    <x v="1"/>
    <s v="Phones"/>
    <s v="Motorola Speaker Phone, Full Size"/>
    <n v="589.81499999999994"/>
    <n v="6"/>
    <n v="0.25"/>
    <n v="23.534999999999997"/>
    <n v="61.81"/>
    <s v="High"/>
  </r>
  <r>
    <n v="23177"/>
    <s v="ID-2014-68099"/>
    <d v="2016-02-04T00:00:00"/>
    <d v="2016-02-07T00:00:00"/>
    <s v="First Class"/>
    <s v="MF-18250"/>
    <s v="Monica Federle"/>
    <x v="1"/>
    <x v="0"/>
    <x v="0"/>
    <x v="0"/>
    <m/>
    <s v="APAC"/>
    <s v="Southeast Asia"/>
    <s v="FUR-BO-10004806"/>
    <x v="2"/>
    <s v="Bookcases"/>
    <s v="Safco Corner Shelving, Traditional"/>
    <n v="582.89400000000012"/>
    <n v="6"/>
    <n v="0.35"/>
    <n v="26.874000000000024"/>
    <n v="45.01"/>
    <s v="Medium"/>
  </r>
  <r>
    <n v="22704"/>
    <s v="IN-2014-21619"/>
    <d v="2016-01-22T00:00:00"/>
    <d v="2016-01-27T00:00:00"/>
    <s v="Standard Class"/>
    <s v="CM-12445"/>
    <s v="Chuck Magee"/>
    <x v="2"/>
    <x v="0"/>
    <x v="0"/>
    <x v="0"/>
    <m/>
    <s v="APAC"/>
    <s v="Southeast Asia"/>
    <s v="FUR-BO-10000895"/>
    <x v="2"/>
    <s v="Bookcases"/>
    <s v="Sauder Stackable Bookrack, Pine"/>
    <n v="582.42600000000004"/>
    <n v="6"/>
    <n v="0.35"/>
    <n v="26.76600000000002"/>
    <n v="31.41"/>
    <s v="Medium"/>
  </r>
  <r>
    <n v="22641"/>
    <s v="IN-2014-60413"/>
    <d v="2016-07-07T00:00:00"/>
    <d v="2016-07-11T00:00:00"/>
    <s v="Standard Class"/>
    <s v="RP-19390"/>
    <s v="Resi Pölking"/>
    <x v="2"/>
    <x v="0"/>
    <x v="0"/>
    <x v="0"/>
    <m/>
    <s v="APAC"/>
    <s v="Southeast Asia"/>
    <s v="TEC-MA-10002898"/>
    <x v="1"/>
    <s v="Machines"/>
    <s v="StarTech Printer, Durable"/>
    <n v="576.65250000000015"/>
    <n v="3"/>
    <n v="0.25"/>
    <n v="-7.7175000000000296"/>
    <n v="32.340000000000003"/>
    <s v="Medium"/>
  </r>
  <r>
    <n v="28860"/>
    <s v="ID-2014-70640"/>
    <d v="2016-08-12T00:00:00"/>
    <d v="2016-08-16T00:00:00"/>
    <s v="Standard Class"/>
    <s v="HL-15040"/>
    <s v="Hunter Lopez"/>
    <x v="2"/>
    <x v="13"/>
    <x v="0"/>
    <x v="0"/>
    <m/>
    <s v="APAC"/>
    <s v="Southeast Asia"/>
    <s v="TEC-MA-10002827"/>
    <x v="1"/>
    <s v="Machines"/>
    <s v="StarTech Printer, Red"/>
    <n v="569.97000000000014"/>
    <n v="3"/>
    <n v="0.25"/>
    <n v="-159.66000000000003"/>
    <n v="45.98"/>
    <s v="Medium"/>
  </r>
  <r>
    <n v="21730"/>
    <s v="IN-2013-31083"/>
    <d v="2015-11-01T00:00:00"/>
    <d v="2015-11-07T00:00:00"/>
    <s v="Standard Class"/>
    <s v="RP-19270"/>
    <s v="Rachel Payne"/>
    <x v="1"/>
    <x v="0"/>
    <x v="0"/>
    <x v="0"/>
    <m/>
    <s v="APAC"/>
    <s v="Southeast Asia"/>
    <s v="TEC-CO-10001157"/>
    <x v="1"/>
    <s v="Copiers"/>
    <s v="Hewlett Personal Copier, Color"/>
    <n v="568.26900000000012"/>
    <n v="6"/>
    <n v="0.35"/>
    <n v="87.309000000000083"/>
    <n v="82.96"/>
    <s v="Low"/>
  </r>
  <r>
    <n v="26700"/>
    <s v="IN-2011-40715"/>
    <d v="2013-06-30T00:00:00"/>
    <d v="2013-07-04T00:00:00"/>
    <s v="Standard Class"/>
    <s v="BF-11170"/>
    <s v="Ben Ferrer"/>
    <x v="0"/>
    <x v="14"/>
    <x v="1"/>
    <x v="0"/>
    <m/>
    <s v="APAC"/>
    <s v="Southeast Asia"/>
    <s v="FUR-BO-10004852"/>
    <x v="2"/>
    <s v="Bookcases"/>
    <s v="Sauder Classic Bookcase, Traditional"/>
    <n v="566.78700000000003"/>
    <n v="2"/>
    <n v="0.35"/>
    <n v="17.427000000000021"/>
    <n v="55.2"/>
    <s v="Medium"/>
  </r>
  <r>
    <n v="28839"/>
    <s v="ID-2014-37516"/>
    <d v="2016-12-01T00:00:00"/>
    <d v="2016-12-05T00:00:00"/>
    <s v="Standard Class"/>
    <s v="KB-16405"/>
    <s v="Katrina Bavinger"/>
    <x v="0"/>
    <x v="0"/>
    <x v="0"/>
    <x v="0"/>
    <m/>
    <s v="APAC"/>
    <s v="Southeast Asia"/>
    <s v="TEC-CO-10002108"/>
    <x v="1"/>
    <s v="Copiers"/>
    <s v="Brother Personal Copier, Color"/>
    <n v="562.88700000000006"/>
    <n v="6"/>
    <n v="0.35"/>
    <n v="129.80700000000002"/>
    <n v="35.51"/>
    <s v="Medium"/>
  </r>
  <r>
    <n v="20323"/>
    <s v="IN-2011-32126"/>
    <d v="2013-09-02T00:00:00"/>
    <d v="2013-09-08T00:00:00"/>
    <s v="Standard Class"/>
    <s v="GA-14515"/>
    <s v="George Ashbrook"/>
    <x v="2"/>
    <x v="3"/>
    <x v="0"/>
    <x v="0"/>
    <m/>
    <s v="APAC"/>
    <s v="Southeast Asia"/>
    <s v="OFF-ST-10003837"/>
    <x v="0"/>
    <s v="Storage"/>
    <s v="Tenex Lockers, Single Width"/>
    <n v="561.49499999999989"/>
    <n v="5"/>
    <n v="0.45"/>
    <n v="-316.6049999999999"/>
    <n v="53.37"/>
    <s v="Low"/>
  </r>
  <r>
    <n v="23652"/>
    <s v="IN-2013-62191"/>
    <d v="2015-08-22T00:00:00"/>
    <d v="2015-08-24T00:00:00"/>
    <s v="Second Class"/>
    <s v="JM-15865"/>
    <s v="John Murray"/>
    <x v="2"/>
    <x v="4"/>
    <x v="2"/>
    <x v="0"/>
    <m/>
    <s v="APAC"/>
    <s v="Southeast Asia"/>
    <s v="OFF-ST-10003295"/>
    <x v="0"/>
    <s v="Storage"/>
    <s v="Tenex Lockers, Blue"/>
    <n v="561.41250000000002"/>
    <n v="5"/>
    <n v="0.45"/>
    <n v="-193.98749999999995"/>
    <n v="48.37"/>
    <s v="High"/>
  </r>
  <r>
    <n v="29142"/>
    <s v="IN-2011-24349"/>
    <d v="2013-09-05T00:00:00"/>
    <d v="2013-09-12T00:00:00"/>
    <s v="Standard Class"/>
    <s v="EH-13990"/>
    <s v="Erica Hackney"/>
    <x v="2"/>
    <x v="0"/>
    <x v="0"/>
    <x v="0"/>
    <m/>
    <s v="APAC"/>
    <s v="Southeast Asia"/>
    <s v="FUR-BO-10001679"/>
    <x v="2"/>
    <s v="Bookcases"/>
    <s v="Ikea 3-Shelf Cabinet, Traditional"/>
    <n v="555.51599999999996"/>
    <n v="6"/>
    <n v="0.35"/>
    <n v="59.796000000000049"/>
    <n v="80.63"/>
    <s v="Low"/>
  </r>
  <r>
    <n v="22511"/>
    <s v="ID-2014-42717"/>
    <d v="2016-12-23T00:00:00"/>
    <d v="2016-12-27T00:00:00"/>
    <s v="Standard Class"/>
    <s v="CL-12700"/>
    <s v="Craig Leslie"/>
    <x v="0"/>
    <x v="0"/>
    <x v="0"/>
    <x v="0"/>
    <m/>
    <s v="APAC"/>
    <s v="Southeast Asia"/>
    <s v="TEC-AC-10000596"/>
    <x v="1"/>
    <s v="Accessories"/>
    <s v="Enermax Memory Card, Erganomic"/>
    <n v="555.39"/>
    <n v="9"/>
    <n v="0.45"/>
    <n v="-30.509999999999934"/>
    <n v="35.69"/>
    <s v="Medium"/>
  </r>
  <r>
    <n v="23794"/>
    <s v="ID-2014-39784"/>
    <d v="2016-11-06T00:00:00"/>
    <d v="2016-11-10T00:00:00"/>
    <s v="Standard Class"/>
    <s v="BF-11080"/>
    <s v="Bart Folk"/>
    <x v="2"/>
    <x v="0"/>
    <x v="0"/>
    <x v="0"/>
    <m/>
    <s v="APAC"/>
    <s v="Southeast Asia"/>
    <s v="TEC-PH-10002042"/>
    <x v="1"/>
    <s v="Phones"/>
    <s v="Cisco Audio Dock, Full Size"/>
    <n v="550.07999999999993"/>
    <n v="4"/>
    <n v="0.25"/>
    <n v="-66.11999999999999"/>
    <n v="34.79"/>
    <s v="Medium"/>
  </r>
  <r>
    <n v="27144"/>
    <s v="IN-2011-41394"/>
    <d v="2013-11-25T00:00:00"/>
    <d v="2013-11-30T00:00:00"/>
    <s v="Standard Class"/>
    <s v="AG-10675"/>
    <s v="Anna Gayman"/>
    <x v="2"/>
    <x v="9"/>
    <x v="2"/>
    <x v="0"/>
    <m/>
    <s v="APAC"/>
    <s v="Southeast Asia"/>
    <s v="FUR-BO-10000071"/>
    <x v="2"/>
    <s v="Bookcases"/>
    <s v="Safco 3-Shelf Cabinet, Metal"/>
    <n v="546.97500000000002"/>
    <n v="5"/>
    <n v="0.35"/>
    <n v="100.875"/>
    <n v="49.2"/>
    <s v="Medium"/>
  </r>
  <r>
    <n v="26021"/>
    <s v="IN-2011-68687"/>
    <d v="2013-03-18T00:00:00"/>
    <d v="2013-03-22T00:00:00"/>
    <s v="Second Class"/>
    <s v="PO-18865"/>
    <s v="Patrick O'Donnell"/>
    <x v="2"/>
    <x v="0"/>
    <x v="0"/>
    <x v="0"/>
    <m/>
    <s v="APAC"/>
    <s v="Southeast Asia"/>
    <s v="OFF-AP-10001824"/>
    <x v="0"/>
    <s v="Appliances"/>
    <s v="Hamilton Beach Blender, Silver"/>
    <n v="543.45600000000002"/>
    <n v="9"/>
    <n v="0.15000000000000002"/>
    <n v="70.145999999999987"/>
    <n v="80.06"/>
    <s v="High"/>
  </r>
  <r>
    <n v="23822"/>
    <s v="IN-2011-67028"/>
    <d v="2013-03-08T00:00:00"/>
    <d v="2013-03-12T00:00:00"/>
    <s v="Standard Class"/>
    <s v="DK-13150"/>
    <s v="David Kendrick"/>
    <x v="1"/>
    <x v="0"/>
    <x v="0"/>
    <x v="0"/>
    <m/>
    <s v="APAC"/>
    <s v="Southeast Asia"/>
    <s v="TEC-PH-10000365"/>
    <x v="1"/>
    <s v="Phones"/>
    <s v="Cisco Office Telephone, with Caller ID"/>
    <n v="543.10500000000002"/>
    <n v="9"/>
    <n v="0.25"/>
    <n v="-7.4250000000000398"/>
    <n v="40.479999999999997"/>
    <s v="Medium"/>
  </r>
  <r>
    <n v="21432"/>
    <s v="IN-2013-10489"/>
    <d v="2015-05-30T00:00:00"/>
    <d v="2015-06-01T00:00:00"/>
    <s v="First Class"/>
    <s v="GH-14485"/>
    <s v="Gene Hale"/>
    <x v="1"/>
    <x v="7"/>
    <x v="3"/>
    <x v="0"/>
    <m/>
    <s v="APAC"/>
    <s v="Southeast Asia"/>
    <s v="FUR-BO-10001501"/>
    <x v="2"/>
    <s v="Bookcases"/>
    <s v="Bush Classic Bookcase, Metal"/>
    <n v="535.78200000000004"/>
    <n v="2"/>
    <n v="0.35"/>
    <n v="65.922000000000025"/>
    <n v="27.53"/>
    <s v="Medium"/>
  </r>
  <r>
    <n v="21890"/>
    <s v="IN-2012-62373"/>
    <d v="2014-09-28T00:00:00"/>
    <d v="2014-09-29T00:00:00"/>
    <s v="First Class"/>
    <s v="EM-14140"/>
    <s v="Eugene Moren"/>
    <x v="0"/>
    <x v="5"/>
    <x v="0"/>
    <x v="0"/>
    <m/>
    <s v="APAC"/>
    <s v="Southeast Asia"/>
    <s v="FUR-BO-10001501"/>
    <x v="2"/>
    <s v="Bookcases"/>
    <s v="Bush Classic Bookcase, Metal"/>
    <n v="535.78200000000004"/>
    <n v="2"/>
    <n v="0.35"/>
    <n v="65.922000000000025"/>
    <n v="11.89"/>
    <s v="High"/>
  </r>
  <r>
    <n v="21279"/>
    <s v="ID-2013-10972"/>
    <d v="2015-07-24T00:00:00"/>
    <d v="2015-07-29T00:00:00"/>
    <s v="Standard Class"/>
    <s v="LW-17125"/>
    <s v="Liz Willingham"/>
    <x v="2"/>
    <x v="0"/>
    <x v="0"/>
    <x v="0"/>
    <m/>
    <s v="APAC"/>
    <s v="Southeast Asia"/>
    <s v="FUR-CH-10003846"/>
    <x v="2"/>
    <s v="Chairs"/>
    <s v="Office Star Swivel Stool, Set of Two"/>
    <n v="528.56999999999994"/>
    <n v="4"/>
    <n v="0.25"/>
    <n v="-176.19"/>
    <n v="54.09"/>
    <s v="Medium"/>
  </r>
  <r>
    <n v="28805"/>
    <s v="IN-2011-55800"/>
    <d v="2013-10-19T00:00:00"/>
    <d v="2013-10-23T00:00:00"/>
    <s v="Standard Class"/>
    <s v="CL-12700"/>
    <s v="Craig Leslie"/>
    <x v="0"/>
    <x v="0"/>
    <x v="0"/>
    <x v="0"/>
    <m/>
    <s v="APAC"/>
    <s v="Southeast Asia"/>
    <s v="TEC-PH-10003348"/>
    <x v="1"/>
    <s v="Phones"/>
    <s v="Cisco Speaker Phone, with Caller ID"/>
    <n v="519.29999999999995"/>
    <n v="5"/>
    <n v="0.25"/>
    <n v="110.70000000000002"/>
    <n v="19"/>
    <s v="Medium"/>
  </r>
  <r>
    <n v="28384"/>
    <s v="ID-2011-17174"/>
    <d v="2013-03-23T00:00:00"/>
    <d v="2013-03-28T00:00:00"/>
    <s v="Standard Class"/>
    <s v="DH-13075"/>
    <s v="Dave Hallsten"/>
    <x v="1"/>
    <x v="0"/>
    <x v="0"/>
    <x v="0"/>
    <m/>
    <s v="APAC"/>
    <s v="Southeast Asia"/>
    <s v="TEC-CO-10004981"/>
    <x v="1"/>
    <s v="Copiers"/>
    <s v="Canon Copy Machine, High-Speed"/>
    <n v="507.66300000000012"/>
    <n v="3"/>
    <n v="0.35"/>
    <n v="-78.146999999999935"/>
    <n v="39.840000000000003"/>
    <s v="Medium"/>
  </r>
  <r>
    <n v="27265"/>
    <s v="IN-2013-36641"/>
    <d v="2015-03-15T00:00:00"/>
    <d v="2015-03-19T00:00:00"/>
    <s v="Standard Class"/>
    <s v="JP-16135"/>
    <s v="Julie Prescott"/>
    <x v="0"/>
    <x v="0"/>
    <x v="0"/>
    <x v="0"/>
    <m/>
    <s v="APAC"/>
    <s v="Southeast Asia"/>
    <s v="FUR-CH-10003861"/>
    <x v="2"/>
    <s v="Chairs"/>
    <s v="Novimex Rocking Chair, Set of Two"/>
    <n v="501.29999999999995"/>
    <n v="5"/>
    <n v="0.25"/>
    <n v="126.90000000000003"/>
    <n v="42.99"/>
    <s v="High"/>
  </r>
  <r>
    <n v="21788"/>
    <s v="IN-2011-48107"/>
    <d v="2013-10-22T00:00:00"/>
    <d v="2013-10-29T00:00:00"/>
    <s v="Standard Class"/>
    <s v="JK-15730"/>
    <s v="Joe Kamberova"/>
    <x v="2"/>
    <x v="1"/>
    <x v="1"/>
    <x v="0"/>
    <m/>
    <s v="APAC"/>
    <s v="Southeast Asia"/>
    <s v="FUR-CH-10001313"/>
    <x v="2"/>
    <s v="Chairs"/>
    <s v="SAFCO Steel Folding Chair, Black"/>
    <n v="499.68"/>
    <n v="8"/>
    <n v="0.25"/>
    <n v="139.68"/>
    <n v="22.46"/>
    <s v="Medium"/>
  </r>
  <r>
    <n v="24358"/>
    <s v="ID-2013-61442"/>
    <d v="2015-01-15T00:00:00"/>
    <d v="2015-01-21T00:00:00"/>
    <s v="Standard Class"/>
    <s v="JB-16000"/>
    <s v="Joy Bell-"/>
    <x v="2"/>
    <x v="0"/>
    <x v="0"/>
    <x v="0"/>
    <m/>
    <s v="APAC"/>
    <s v="Southeast Asia"/>
    <s v="FUR-CH-10004863"/>
    <x v="2"/>
    <s v="Chairs"/>
    <s v="SAFCO Swivel Stool, Black"/>
    <n v="496.53000000000009"/>
    <n v="4"/>
    <n v="0.25"/>
    <n v="152.24999999999997"/>
    <n v="83"/>
    <s v="Low"/>
  </r>
  <r>
    <n v="25192"/>
    <s v="IN-2014-48121"/>
    <d v="2016-02-18T00:00:00"/>
    <d v="2016-02-20T00:00:00"/>
    <s v="First Class"/>
    <s v="CM-12160"/>
    <s v="Charles McCrossin"/>
    <x v="2"/>
    <x v="8"/>
    <x v="4"/>
    <x v="0"/>
    <m/>
    <s v="APAC"/>
    <s v="Southeast Asia"/>
    <s v="FUR-FU-10004158"/>
    <x v="2"/>
    <s v="Furnishings"/>
    <s v="Deflect-O Frame, Black"/>
    <n v="495.18"/>
    <n v="6"/>
    <n v="0.25"/>
    <n v="79.199999999999989"/>
    <n v="62.96"/>
    <s v="High"/>
  </r>
  <r>
    <n v="26452"/>
    <s v="ID-2012-44173"/>
    <d v="2014-11-07T00:00:00"/>
    <d v="2014-11-13T00:00:00"/>
    <s v="Standard Class"/>
    <s v="EH-13990"/>
    <s v="Erica Hackney"/>
    <x v="2"/>
    <x v="0"/>
    <x v="0"/>
    <x v="0"/>
    <m/>
    <s v="APAC"/>
    <s v="Southeast Asia"/>
    <s v="FUR-FU-10000339"/>
    <x v="2"/>
    <s v="Furnishings"/>
    <s v="Tenex Frame, Black"/>
    <n v="494.90999999999991"/>
    <n v="6"/>
    <n v="0.25"/>
    <n v="-138.68999999999997"/>
    <n v="29.73"/>
    <s v="Medium"/>
  </r>
  <r>
    <n v="21789"/>
    <s v="IN-2011-48107"/>
    <d v="2013-10-22T00:00:00"/>
    <d v="2013-10-29T00:00:00"/>
    <s v="Standard Class"/>
    <s v="JK-15730"/>
    <s v="Joe Kamberova"/>
    <x v="2"/>
    <x v="1"/>
    <x v="1"/>
    <x v="0"/>
    <m/>
    <s v="APAC"/>
    <s v="Southeast Asia"/>
    <s v="FUR-FU-10004549"/>
    <x v="2"/>
    <s v="Furnishings"/>
    <s v="Advantus Frame, Erganomic"/>
    <n v="493.82999999999993"/>
    <n v="6"/>
    <n v="0.25"/>
    <n v="85.590000000000032"/>
    <n v="38.22"/>
    <s v="Medium"/>
  </r>
  <r>
    <n v="23829"/>
    <s v="ID-2012-28689"/>
    <d v="2014-10-08T00:00:00"/>
    <d v="2014-10-13T00:00:00"/>
    <s v="Standard Class"/>
    <s v="AC-10420"/>
    <s v="Alyssa Crouse"/>
    <x v="1"/>
    <x v="0"/>
    <x v="0"/>
    <x v="0"/>
    <m/>
    <s v="APAC"/>
    <s v="Southeast Asia"/>
    <s v="FUR-CH-10001664"/>
    <x v="2"/>
    <s v="Chairs"/>
    <s v="Novimex Swivel Stool, Black"/>
    <n v="486.09000000000009"/>
    <n v="4"/>
    <n v="0.25"/>
    <n v="-19.470000000000027"/>
    <n v="35.6"/>
    <s v="Medium"/>
  </r>
  <r>
    <n v="25764"/>
    <s v="IN-2014-56591"/>
    <d v="2016-12-30T00:00:00"/>
    <d v="2015-01-05T00:00:00"/>
    <s v="Standard Class"/>
    <s v="DK-12985"/>
    <s v="Darren Koutras"/>
    <x v="2"/>
    <x v="0"/>
    <x v="0"/>
    <x v="0"/>
    <m/>
    <s v="APAC"/>
    <s v="Southeast Asia"/>
    <s v="FUR-BO-10000195"/>
    <x v="2"/>
    <s v="Bookcases"/>
    <s v="Dania Stackable Bookrack, Pine"/>
    <n v="484.029"/>
    <n v="6"/>
    <n v="0.35"/>
    <n v="29.70900000000006"/>
    <n v="54.96"/>
    <s v="Low"/>
  </r>
  <r>
    <n v="22695"/>
    <s v="ID-2012-37838"/>
    <d v="2014-11-14T00:00:00"/>
    <d v="2014-11-16T00:00:00"/>
    <s v="Second Class"/>
    <s v="BD-11620"/>
    <s v="Brian DeCherney"/>
    <x v="2"/>
    <x v="0"/>
    <x v="0"/>
    <x v="0"/>
    <m/>
    <s v="APAC"/>
    <s v="Southeast Asia"/>
    <s v="FUR-FU-10002890"/>
    <x v="2"/>
    <s v="Furnishings"/>
    <s v="Rubbermaid Frame, Durable"/>
    <n v="481.1400000000001"/>
    <n v="6"/>
    <n v="0.25"/>
    <n v="-77.04000000000002"/>
    <n v="95.43"/>
    <s v="High"/>
  </r>
  <r>
    <n v="26073"/>
    <s v="IN-2011-18987"/>
    <d v="2013-08-15T00:00:00"/>
    <d v="2013-08-17T00:00:00"/>
    <s v="First Class"/>
    <s v="LE-16810"/>
    <s v="Laurel Elliston"/>
    <x v="2"/>
    <x v="10"/>
    <x v="5"/>
    <x v="0"/>
    <m/>
    <s v="APAC"/>
    <s v="Southeast Asia"/>
    <s v="TEC-CO-10001472"/>
    <x v="1"/>
    <s v="Copiers"/>
    <s v="Sharp Copy Machine, Laser"/>
    <n v="466.12799999999993"/>
    <n v="3"/>
    <n v="0.35"/>
    <n v="100.36800000000005"/>
    <n v="6.48"/>
    <s v="Medium"/>
  </r>
  <r>
    <n v="26216"/>
    <s v="IN-2012-37586"/>
    <d v="2014-06-11T00:00:00"/>
    <d v="2014-06-14T00:00:00"/>
    <s v="Second Class"/>
    <s v="LP-17095"/>
    <s v="Liz Preis"/>
    <x v="2"/>
    <x v="0"/>
    <x v="0"/>
    <x v="0"/>
    <m/>
    <s v="APAC"/>
    <s v="Southeast Asia"/>
    <s v="TEC-CO-10002057"/>
    <x v="1"/>
    <s v="Copiers"/>
    <s v="Sharp Copy Machine, Color"/>
    <n v="463.31999999999994"/>
    <n v="3"/>
    <n v="0.35"/>
    <n v="-121.22999999999996"/>
    <n v="50.66"/>
    <s v="Medium"/>
  </r>
  <r>
    <n v="24670"/>
    <s v="ID-2014-69233"/>
    <d v="2016-03-04T00:00:00"/>
    <d v="2016-03-09T00:00:00"/>
    <s v="Second Class"/>
    <s v="PO-19180"/>
    <s v="Philisse Overcash"/>
    <x v="0"/>
    <x v="1"/>
    <x v="1"/>
    <x v="0"/>
    <m/>
    <s v="APAC"/>
    <s v="Southeast Asia"/>
    <s v="TEC-CO-10003250"/>
    <x v="1"/>
    <s v="Copiers"/>
    <s v="Brother Personal Copier, Digital"/>
    <n v="463.22250000000008"/>
    <n v="5"/>
    <n v="0.35"/>
    <n v="-35.677500000000038"/>
    <n v="11.39"/>
    <s v="Medium"/>
  </r>
  <r>
    <n v="23100"/>
    <s v="ID-2011-66412"/>
    <d v="2013-03-30T00:00:00"/>
    <d v="2013-04-03T00:00:00"/>
    <s v="Standard Class"/>
    <s v="AF-10870"/>
    <s v="Art Ferguson"/>
    <x v="2"/>
    <x v="0"/>
    <x v="0"/>
    <x v="0"/>
    <m/>
    <s v="APAC"/>
    <s v="Southeast Asia"/>
    <s v="TEC-MA-10002998"/>
    <x v="1"/>
    <s v="Machines"/>
    <s v="Okidata Receipt Printer, Durable"/>
    <n v="461.36250000000007"/>
    <n v="5"/>
    <n v="0.25"/>
    <n v="-110.73750000000003"/>
    <n v="28.45"/>
    <s v="Medium"/>
  </r>
  <r>
    <n v="26724"/>
    <s v="ID-2013-25742"/>
    <d v="2015-01-28T00:00:00"/>
    <d v="2015-01-30T00:00:00"/>
    <s v="First Class"/>
    <s v="SC-20695"/>
    <s v="Steve Chapman"/>
    <x v="1"/>
    <x v="0"/>
    <x v="0"/>
    <x v="0"/>
    <m/>
    <s v="APAC"/>
    <s v="Southeast Asia"/>
    <s v="TEC-CO-10003522"/>
    <x v="1"/>
    <s v="Copiers"/>
    <s v="Sharp Personal Copier, High-Speed"/>
    <n v="460.98"/>
    <n v="6"/>
    <n v="0.35"/>
    <n v="-241.19999999999993"/>
    <n v="122.23"/>
    <s v="High"/>
  </r>
  <r>
    <n v="29758"/>
    <s v="ID-2013-63570"/>
    <d v="2015-06-07T00:00:00"/>
    <d v="2015-06-12T00:00:00"/>
    <s v="Standard Class"/>
    <s v="TR-21325"/>
    <s v="Toby Ritter"/>
    <x v="2"/>
    <x v="0"/>
    <x v="0"/>
    <x v="0"/>
    <m/>
    <s v="APAC"/>
    <s v="Southeast Asia"/>
    <s v="TEC-CO-10003570"/>
    <x v="1"/>
    <s v="Copiers"/>
    <s v="Sharp Wireless Fax, High-Speed"/>
    <n v="460.35599999999999"/>
    <n v="2"/>
    <n v="0.35"/>
    <n v="-49.584000000000003"/>
    <n v="20.149999999999999"/>
    <s v="Medium"/>
  </r>
  <r>
    <n v="22968"/>
    <s v="IN-2014-42437"/>
    <d v="2016-06-09T00:00:00"/>
    <d v="2016-06-13T00:00:00"/>
    <s v="Standard Class"/>
    <s v="JF-15415"/>
    <s v="Jennifer Ferguson"/>
    <x v="2"/>
    <x v="3"/>
    <x v="0"/>
    <x v="0"/>
    <m/>
    <s v="APAC"/>
    <s v="Southeast Asia"/>
    <s v="OFF-AP-10001931"/>
    <x v="0"/>
    <s v="Appliances"/>
    <s v="Cuisinart Stove, Red"/>
    <n v="457.54649999999998"/>
    <n v="1"/>
    <n v="0.15000000000000002"/>
    <n v="134.56649999999999"/>
    <n v="35"/>
    <s v="High"/>
  </r>
  <r>
    <n v="25604"/>
    <s v="ID-2011-30922"/>
    <d v="2013-11-28T00:00:00"/>
    <d v="2013-12-03T00:00:00"/>
    <s v="Standard Class"/>
    <s v="AG-10330"/>
    <s v="Alex Grayson"/>
    <x v="2"/>
    <x v="11"/>
    <x v="2"/>
    <x v="0"/>
    <m/>
    <s v="APAC"/>
    <s v="Southeast Asia"/>
    <s v="OFF-ST-10002650"/>
    <x v="0"/>
    <s v="Storage"/>
    <s v="Fellowes Lockers, Wire Frame"/>
    <n v="454.08"/>
    <n v="4"/>
    <n v="0.45"/>
    <n v="-107.39999999999998"/>
    <n v="22.73"/>
    <s v="Medium"/>
  </r>
  <r>
    <n v="20864"/>
    <s v="ID-2014-35122"/>
    <d v="2016-01-22T00:00:00"/>
    <d v="2016-01-26T00:00:00"/>
    <s v="Standard Class"/>
    <s v="DK-13090"/>
    <s v="Dave Kipp"/>
    <x v="2"/>
    <x v="6"/>
    <x v="2"/>
    <x v="0"/>
    <m/>
    <s v="APAC"/>
    <s v="Southeast Asia"/>
    <s v="FUR-TA-10003078"/>
    <x v="2"/>
    <s v="Tables"/>
    <s v="Hon Training Table, Fully Assembled"/>
    <n v="451.12950000000001"/>
    <n v="3"/>
    <n v="0.55000000000000004"/>
    <n v="-150.43050000000017"/>
    <n v="49.09"/>
    <s v="Medium"/>
  </r>
  <r>
    <n v="22639"/>
    <s v="IN-2014-60413"/>
    <d v="2016-07-07T00:00:00"/>
    <d v="2016-07-11T00:00:00"/>
    <s v="Standard Class"/>
    <s v="RP-19390"/>
    <s v="Resi Pölking"/>
    <x v="2"/>
    <x v="0"/>
    <x v="0"/>
    <x v="0"/>
    <m/>
    <s v="APAC"/>
    <s v="Southeast Asia"/>
    <s v="TEC-PH-10003481"/>
    <x v="1"/>
    <s v="Phones"/>
    <s v="Apple Office Telephone, Full Size"/>
    <n v="449.34749999999997"/>
    <n v="9"/>
    <n v="0.25"/>
    <n v="-53.932499999999976"/>
    <n v="14.39"/>
    <s v="Medium"/>
  </r>
  <r>
    <n v="21440"/>
    <s v="ID-2011-58670"/>
    <d v="2013-01-07T00:00:00"/>
    <d v="2013-01-11T00:00:00"/>
    <s v="Standard Class"/>
    <s v="MS-17365"/>
    <s v="Maribeth Schnelling"/>
    <x v="2"/>
    <x v="0"/>
    <x v="0"/>
    <x v="0"/>
    <m/>
    <s v="APAC"/>
    <s v="Southeast Asia"/>
    <s v="TEC-MA-10000868"/>
    <x v="1"/>
    <s v="Machines"/>
    <s v="Panasonic Phone, Wireless"/>
    <n v="445.41"/>
    <n v="7"/>
    <n v="0.25"/>
    <n v="-136.71"/>
    <n v="46.97"/>
    <s v="High"/>
  </r>
  <r>
    <n v="26966"/>
    <s v="ID-2014-46714"/>
    <d v="2016-09-12T00:00:00"/>
    <d v="2016-09-18T00:00:00"/>
    <s v="Standard Class"/>
    <s v="DD-13570"/>
    <s v="Dorothy Dickinson"/>
    <x v="2"/>
    <x v="1"/>
    <x v="1"/>
    <x v="0"/>
    <m/>
    <s v="APAC"/>
    <s v="Southeast Asia"/>
    <s v="FUR-CH-10002626"/>
    <x v="2"/>
    <s v="Chairs"/>
    <s v="Hon Steel Folding Chair, Adjustable"/>
    <n v="440.52749999999997"/>
    <n v="7"/>
    <n v="0.25"/>
    <n v="140.85749999999993"/>
    <n v="38.090000000000003"/>
    <s v="Medium"/>
  </r>
  <r>
    <n v="28142"/>
    <s v="IN-2014-44614"/>
    <d v="2016-12-04T00:00:00"/>
    <d v="2016-12-10T00:00:00"/>
    <s v="Standard Class"/>
    <s v="KT-16480"/>
    <s v="Kean Thornton"/>
    <x v="2"/>
    <x v="15"/>
    <x v="0"/>
    <x v="0"/>
    <m/>
    <s v="APAC"/>
    <s v="Southeast Asia"/>
    <s v="FUR-TA-10004730"/>
    <x v="2"/>
    <s v="Tables"/>
    <s v="Barricks Training Table, Adjustable Height"/>
    <n v="432.66149999999988"/>
    <n v="3"/>
    <n v="0.55000000000000004"/>
    <n v="-394.25850000000003"/>
    <n v="14.04"/>
    <s v="Medium"/>
  </r>
  <r>
    <n v="20463"/>
    <s v="ID-2014-74462"/>
    <d v="2016-12-23T00:00:00"/>
    <d v="2016-12-25T00:00:00"/>
    <s v="Second Class"/>
    <s v="MC-17845"/>
    <s v="Michael Chen"/>
    <x v="2"/>
    <x v="0"/>
    <x v="0"/>
    <x v="0"/>
    <m/>
    <s v="APAC"/>
    <s v="Southeast Asia"/>
    <s v="TEC-AC-10000857"/>
    <x v="1"/>
    <s v="Accessories"/>
    <s v="Belkin Router, Programmable"/>
    <n v="429.41250000000002"/>
    <n v="3"/>
    <n v="0.45"/>
    <n v="-171.78749999999999"/>
    <n v="38.57"/>
    <s v="Medium"/>
  </r>
  <r>
    <n v="25284"/>
    <s v="ID-2011-50655"/>
    <d v="2013-12-09T00:00:00"/>
    <d v="2013-12-13T00:00:00"/>
    <s v="Standard Class"/>
    <s v="JP-15520"/>
    <s v="Jeremy Pistek"/>
    <x v="2"/>
    <x v="0"/>
    <x v="0"/>
    <x v="0"/>
    <m/>
    <s v="APAC"/>
    <s v="Southeast Asia"/>
    <s v="TEC-MA-10004553"/>
    <x v="1"/>
    <s v="Machines"/>
    <s v="Epson Receipt Printer, Red"/>
    <n v="428.17500000000001"/>
    <n v="5"/>
    <n v="0.25"/>
    <n v="-51.525000000000006"/>
    <n v="39.47"/>
    <s v="Medium"/>
  </r>
  <r>
    <n v="29682"/>
    <s v="ID-2014-18665"/>
    <d v="2016-03-15T00:00:00"/>
    <d v="2016-03-21T00:00:00"/>
    <s v="Standard Class"/>
    <s v="NR-18550"/>
    <s v="Nick Radford"/>
    <x v="2"/>
    <x v="16"/>
    <x v="0"/>
    <x v="0"/>
    <m/>
    <s v="APAC"/>
    <s v="Southeast Asia"/>
    <s v="FUR-CH-10004312"/>
    <x v="2"/>
    <s v="Chairs"/>
    <s v="Hon Bag Chairs, Set of Two"/>
    <n v="426.59999999999997"/>
    <n v="12"/>
    <n v="0.25"/>
    <n v="-5.7599999999999909"/>
    <n v="25.44"/>
    <s v="Medium"/>
  </r>
  <r>
    <n v="25661"/>
    <s v="ID-2013-24615"/>
    <d v="2015-09-30T00:00:00"/>
    <d v="2015-10-05T00:00:00"/>
    <s v="Second Class"/>
    <s v="BS-11380"/>
    <s v="Bill Stewart"/>
    <x v="1"/>
    <x v="16"/>
    <x v="0"/>
    <x v="0"/>
    <m/>
    <s v="APAC"/>
    <s v="Southeast Asia"/>
    <s v="OFF-AP-10001529"/>
    <x v="0"/>
    <s v="Appliances"/>
    <s v="Hamilton Beach Toaster, White"/>
    <n v="425.72250000000003"/>
    <n v="9"/>
    <n v="0.15000000000000002"/>
    <n v="150.05250000000001"/>
    <n v="0.43"/>
    <s v="Medium"/>
  </r>
  <r>
    <n v="27167"/>
    <s v="ID-2012-10755"/>
    <d v="2014-10-11T00:00:00"/>
    <d v="2014-10-18T00:00:00"/>
    <s v="Standard Class"/>
    <s v="ER-13855"/>
    <s v="Elpida Rittenbach"/>
    <x v="1"/>
    <x v="0"/>
    <x v="0"/>
    <x v="0"/>
    <m/>
    <s v="APAC"/>
    <s v="Southeast Asia"/>
    <s v="TEC-AC-10002601"/>
    <x v="1"/>
    <s v="Accessories"/>
    <s v="SanDisk Router, Bluetooth"/>
    <n v="422.97750000000002"/>
    <n v="3"/>
    <n v="0.45"/>
    <n v="-76.972500000000025"/>
    <n v="15.46"/>
    <s v="Medium"/>
  </r>
  <r>
    <n v="21221"/>
    <s v="IN-2013-51138"/>
    <d v="2015-09-27T00:00:00"/>
    <d v="2015-10-02T00:00:00"/>
    <s v="Standard Class"/>
    <s v="LS-17200"/>
    <s v="Luke Schmidt"/>
    <x v="1"/>
    <x v="13"/>
    <x v="0"/>
    <x v="0"/>
    <m/>
    <s v="APAC"/>
    <s v="Southeast Asia"/>
    <s v="TEC-MA-10003314"/>
    <x v="1"/>
    <s v="Machines"/>
    <s v="Epson Phone, White"/>
    <n v="416.745"/>
    <n v="7"/>
    <n v="0.25"/>
    <n v="99.85499999999999"/>
    <n v="25.49"/>
    <s v="Medium"/>
  </r>
  <r>
    <n v="22081"/>
    <s v="ID-2013-19960"/>
    <d v="2015-03-08T00:00:00"/>
    <d v="2015-03-10T00:00:00"/>
    <s v="Second Class"/>
    <s v="LT-16765"/>
    <s v="Larry Tron"/>
    <x v="2"/>
    <x v="15"/>
    <x v="0"/>
    <x v="0"/>
    <m/>
    <s v="APAC"/>
    <s v="Southeast Asia"/>
    <s v="TEC-CO-10003354"/>
    <x v="1"/>
    <s v="Copiers"/>
    <s v="Brother Fax Machine, Laser"/>
    <n v="414.10200000000003"/>
    <n v="2"/>
    <n v="0.35"/>
    <n v="-31.877999999999986"/>
    <n v="44.22"/>
    <s v="High"/>
  </r>
  <r>
    <n v="23584"/>
    <s v="ID-2011-74091"/>
    <d v="2013-04-25T00:00:00"/>
    <d v="2013-05-01T00:00:00"/>
    <s v="Standard Class"/>
    <s v="IG-15085"/>
    <s v="Ivan Gibson"/>
    <x v="2"/>
    <x v="4"/>
    <x v="2"/>
    <x v="0"/>
    <m/>
    <s v="APAC"/>
    <s v="Southeast Asia"/>
    <s v="TEC-AC-10002914"/>
    <x v="1"/>
    <s v="Accessories"/>
    <s v="Memorex Router, Programmable"/>
    <n v="408.72149999999999"/>
    <n v="3"/>
    <n v="0.45"/>
    <n v="-104.0985"/>
    <n v="37.25"/>
    <s v="Medium"/>
  </r>
  <r>
    <n v="27865"/>
    <s v="ID-2011-76884"/>
    <d v="2013-10-17T00:00:00"/>
    <d v="2013-10-23T00:00:00"/>
    <s v="Standard Class"/>
    <s v="HF-14995"/>
    <s v="Herbert Flentye"/>
    <x v="2"/>
    <x v="0"/>
    <x v="0"/>
    <x v="0"/>
    <m/>
    <s v="APAC"/>
    <s v="Southeast Asia"/>
    <s v="TEC-MA-10003492"/>
    <x v="1"/>
    <s v="Machines"/>
    <s v="Okidata Printer, Wireless"/>
    <n v="402.75000000000011"/>
    <n v="2"/>
    <n v="0.25"/>
    <n v="-112.77000000000002"/>
    <n v="26.43"/>
    <s v="Medium"/>
  </r>
  <r>
    <n v="23653"/>
    <s v="IN-2013-62191"/>
    <d v="2015-08-22T00:00:00"/>
    <d v="2015-08-24T00:00:00"/>
    <s v="Second Class"/>
    <s v="JM-15865"/>
    <s v="John Murray"/>
    <x v="2"/>
    <x v="4"/>
    <x v="2"/>
    <x v="0"/>
    <m/>
    <s v="APAC"/>
    <s v="Southeast Asia"/>
    <s v="TEC-PH-10002152"/>
    <x v="1"/>
    <s v="Phones"/>
    <s v="Apple Headset, Cordless"/>
    <n v="399.57749999999993"/>
    <n v="7"/>
    <n v="0.25"/>
    <n v="31.867500000000035"/>
    <n v="66.349999999999994"/>
    <s v="High"/>
  </r>
  <r>
    <n v="25693"/>
    <s v="IN-2012-40736"/>
    <d v="2014-09-13T00:00:00"/>
    <d v="2014-09-18T00:00:00"/>
    <s v="Standard Class"/>
    <s v="NF-18475"/>
    <s v="Neil Französisch"/>
    <x v="0"/>
    <x v="13"/>
    <x v="0"/>
    <x v="0"/>
    <m/>
    <s v="APAC"/>
    <s v="Southeast Asia"/>
    <s v="TEC-PH-10002742"/>
    <x v="1"/>
    <s v="Phones"/>
    <s v="Motorola Audio Dock, Cordless"/>
    <n v="396.495"/>
    <n v="3"/>
    <n v="0.25"/>
    <n v="-21.194999999999993"/>
    <n v="17.7"/>
    <s v="Medium"/>
  </r>
  <r>
    <n v="28231"/>
    <s v="ID-2014-74119"/>
    <d v="2016-09-30T00:00:00"/>
    <d v="2016-10-04T00:00:00"/>
    <s v="Second Class"/>
    <s v="DH-13675"/>
    <s v="Duane Huffman"/>
    <x v="0"/>
    <x v="0"/>
    <x v="0"/>
    <x v="0"/>
    <m/>
    <s v="APAC"/>
    <s v="Southeast Asia"/>
    <s v="TEC-MA-10001811"/>
    <x v="1"/>
    <s v="Machines"/>
    <s v="Okidata Card Printer, Durable"/>
    <n v="395.88750000000005"/>
    <n v="3"/>
    <n v="0.25"/>
    <n v="-110.9025"/>
    <n v="54.49"/>
    <s v="High"/>
  </r>
  <r>
    <n v="20316"/>
    <s v="ID-2014-62926"/>
    <d v="2016-09-18T00:00:00"/>
    <d v="2016-09-19T00:00:00"/>
    <s v="First Class"/>
    <s v="MC-18100"/>
    <s v="Mick Crebagga"/>
    <x v="2"/>
    <x v="16"/>
    <x v="0"/>
    <x v="0"/>
    <m/>
    <s v="APAC"/>
    <s v="Southeast Asia"/>
    <s v="TEC-MA-10003553"/>
    <x v="1"/>
    <s v="Machines"/>
    <s v="Epson Printer, Red"/>
    <n v="389.65499999999997"/>
    <n v="2"/>
    <n v="0.25"/>
    <n v="-83.144999999999982"/>
    <n v="89.79"/>
    <s v="High"/>
  </r>
  <r>
    <n v="21441"/>
    <s v="ID-2011-58670"/>
    <d v="2013-01-07T00:00:00"/>
    <d v="2013-01-11T00:00:00"/>
    <s v="Standard Class"/>
    <s v="MS-17365"/>
    <s v="Maribeth Schnelling"/>
    <x v="2"/>
    <x v="0"/>
    <x v="0"/>
    <x v="0"/>
    <m/>
    <s v="APAC"/>
    <s v="Southeast Asia"/>
    <s v="TEC-MA-10004482"/>
    <x v="1"/>
    <s v="Machines"/>
    <s v="Panasonic Card Printer, White"/>
    <n v="387.51750000000004"/>
    <n v="3"/>
    <n v="0.25"/>
    <n v="25.807499999999976"/>
    <n v="26.2"/>
    <s v="High"/>
  </r>
  <r>
    <n v="26082"/>
    <s v="IN-2014-66349"/>
    <d v="2016-02-21T00:00:00"/>
    <d v="2016-02-27T00:00:00"/>
    <s v="Standard Class"/>
    <s v="LP-17095"/>
    <s v="Liz Preis"/>
    <x v="2"/>
    <x v="5"/>
    <x v="0"/>
    <x v="0"/>
    <m/>
    <s v="APAC"/>
    <s v="Southeast Asia"/>
    <s v="FUR-CH-10002412"/>
    <x v="2"/>
    <s v="Chairs"/>
    <s v="Hon Bag Chairs, Black"/>
    <n v="384.48"/>
    <n v="12"/>
    <n v="0.25"/>
    <n v="-123.11999999999999"/>
    <n v="22.65"/>
    <s v="Medium"/>
  </r>
  <r>
    <n v="21801"/>
    <s v="IN-2013-78081"/>
    <d v="2015-06-19T00:00:00"/>
    <d v="2015-06-23T00:00:00"/>
    <s v="Standard Class"/>
    <s v="CS-12355"/>
    <s v="Christine Sundaresam"/>
    <x v="2"/>
    <x v="0"/>
    <x v="0"/>
    <x v="0"/>
    <m/>
    <s v="APAC"/>
    <s v="Southeast Asia"/>
    <s v="TEC-PH-10004281"/>
    <x v="1"/>
    <s v="Phones"/>
    <s v="Samsung Audio Dock, Cordless"/>
    <n v="381.78000000000003"/>
    <n v="3"/>
    <n v="0.25"/>
    <n v="91.620000000000019"/>
    <n v="17.809999999999999"/>
    <s v="Medium"/>
  </r>
  <r>
    <n v="21891"/>
    <s v="IN-2012-62373"/>
    <d v="2014-09-28T00:00:00"/>
    <d v="2014-09-29T00:00:00"/>
    <s v="First Class"/>
    <s v="EM-14140"/>
    <s v="Eugene Moren"/>
    <x v="0"/>
    <x v="5"/>
    <x v="0"/>
    <x v="0"/>
    <m/>
    <s v="APAC"/>
    <s v="Southeast Asia"/>
    <s v="FUR-BO-10002510"/>
    <x v="2"/>
    <s v="Bookcases"/>
    <s v="Bush 3-Shelf Cabinet, Mobile"/>
    <n v="379.31400000000008"/>
    <n v="4"/>
    <n v="0.35"/>
    <n v="-128.40600000000001"/>
    <n v="46.84"/>
    <s v="High"/>
  </r>
  <r>
    <n v="21069"/>
    <s v="ID-2013-24412"/>
    <d v="2015-11-16T00:00:00"/>
    <d v="2015-11-21T00:00:00"/>
    <s v="Standard Class"/>
    <s v="AH-10030"/>
    <s v="Aaron Hawkins"/>
    <x v="1"/>
    <x v="0"/>
    <x v="0"/>
    <x v="0"/>
    <m/>
    <s v="APAC"/>
    <s v="Southeast Asia"/>
    <s v="TEC-CO-10001531"/>
    <x v="1"/>
    <s v="Copiers"/>
    <s v="Hewlett Fax and Copier, Color"/>
    <n v="378.90449999999998"/>
    <n v="3"/>
    <n v="0.35"/>
    <n v="69.934500000000043"/>
    <n v="23.9"/>
    <s v="Medium"/>
  </r>
  <r>
    <n v="28417"/>
    <s v="IN-2014-69100"/>
    <d v="2016-05-12T00:00:00"/>
    <d v="2016-05-16T00:00:00"/>
    <s v="Standard Class"/>
    <s v="CH-12070"/>
    <s v="Cathy Hwang"/>
    <x v="0"/>
    <x v="0"/>
    <x v="0"/>
    <x v="0"/>
    <m/>
    <s v="APAC"/>
    <s v="Southeast Asia"/>
    <s v="TEC-PH-10004221"/>
    <x v="1"/>
    <s v="Phones"/>
    <s v="Samsung Speaker Phone, Cordless"/>
    <n v="378.27"/>
    <n v="4"/>
    <n v="0.25"/>
    <n v="75.629999999999967"/>
    <n v="28.01"/>
    <s v="Medium"/>
  </r>
  <r>
    <n v="20906"/>
    <s v="ID-2014-52349"/>
    <d v="2016-07-22T00:00:00"/>
    <d v="2016-07-27T00:00:00"/>
    <s v="Second Class"/>
    <s v="NF-18385"/>
    <s v="Natalie Fritzler"/>
    <x v="2"/>
    <x v="0"/>
    <x v="0"/>
    <x v="0"/>
    <m/>
    <s v="APAC"/>
    <s v="Southeast Asia"/>
    <s v="TEC-PH-10001535"/>
    <x v="1"/>
    <s v="Phones"/>
    <s v="Nokia Speaker Phone, Cordless"/>
    <n v="378"/>
    <n v="4"/>
    <n v="0.25"/>
    <n v="-20.159999999999997"/>
    <n v="39.99"/>
    <s v="Medium"/>
  </r>
  <r>
    <n v="20498"/>
    <s v="IN-2012-26169"/>
    <d v="2014-03-26T00:00:00"/>
    <d v="2014-03-30T00:00:00"/>
    <s v="Standard Class"/>
    <s v="BF-11005"/>
    <s v="Barry Franz"/>
    <x v="0"/>
    <x v="0"/>
    <x v="0"/>
    <x v="0"/>
    <m/>
    <s v="APAC"/>
    <s v="Southeast Asia"/>
    <s v="TEC-PH-10004675"/>
    <x v="1"/>
    <s v="Phones"/>
    <s v="Nokia Audio Dock, VoIP"/>
    <n v="375.36749999999995"/>
    <n v="3"/>
    <n v="0.25"/>
    <n v="29.947500000000005"/>
    <n v="32.29"/>
    <s v="High"/>
  </r>
  <r>
    <n v="21729"/>
    <s v="IN-2013-31083"/>
    <d v="2015-11-01T00:00:00"/>
    <d v="2015-11-07T00:00:00"/>
    <s v="Standard Class"/>
    <s v="RP-19270"/>
    <s v="Rachel Payne"/>
    <x v="1"/>
    <x v="0"/>
    <x v="0"/>
    <x v="0"/>
    <m/>
    <s v="APAC"/>
    <s v="Southeast Asia"/>
    <s v="TEC-PH-10003927"/>
    <x v="1"/>
    <s v="Phones"/>
    <s v="Nokia Audio Dock, with Caller ID"/>
    <n v="375.16500000000002"/>
    <n v="3"/>
    <n v="0.25"/>
    <n v="65.024999999999977"/>
    <n v="64.03"/>
    <s v="Low"/>
  </r>
  <r>
    <n v="26081"/>
    <s v="IN-2014-66349"/>
    <d v="2016-02-21T00:00:00"/>
    <d v="2016-02-27T00:00:00"/>
    <s v="Standard Class"/>
    <s v="LP-17095"/>
    <s v="Liz Preis"/>
    <x v="2"/>
    <x v="5"/>
    <x v="0"/>
    <x v="0"/>
    <m/>
    <s v="APAC"/>
    <s v="Southeast Asia"/>
    <s v="TEC-MA-10004423"/>
    <x v="1"/>
    <s v="Machines"/>
    <s v="StarTech Card Printer, White"/>
    <n v="364.29750000000007"/>
    <n v="3"/>
    <n v="0.25"/>
    <n v="67.927499999999966"/>
    <n v="22.05"/>
    <s v="Medium"/>
  </r>
  <r>
    <n v="20545"/>
    <s v="ID-2012-21787"/>
    <d v="2014-06-19T00:00:00"/>
    <d v="2014-06-24T00:00:00"/>
    <s v="Standard Class"/>
    <s v="DR-12940"/>
    <s v="Daniel Raglin"/>
    <x v="0"/>
    <x v="0"/>
    <x v="0"/>
    <x v="0"/>
    <m/>
    <s v="APAC"/>
    <s v="Southeast Asia"/>
    <s v="OFF-ST-10002774"/>
    <x v="0"/>
    <s v="Storage"/>
    <s v="Rogers Lockers, Industrial"/>
    <n v="349.96500000000003"/>
    <n v="3"/>
    <n v="0.45"/>
    <n v="-280.03500000000003"/>
    <n v="35.369999999999997"/>
    <s v="High"/>
  </r>
  <r>
    <n v="25843"/>
    <s v="ID-2013-50347"/>
    <d v="2015-08-28T00:00:00"/>
    <d v="2015-09-04T00:00:00"/>
    <s v="Standard Class"/>
    <s v="SP-20620"/>
    <s v="Stefania Perrino"/>
    <x v="1"/>
    <x v="15"/>
    <x v="0"/>
    <x v="0"/>
    <m/>
    <s v="APAC"/>
    <s v="Southeast Asia"/>
    <s v="FUR-FU-10001557"/>
    <x v="2"/>
    <s v="Furnishings"/>
    <s v="Advantus Clock, Duo Pack"/>
    <n v="347.28750000000002"/>
    <n v="9"/>
    <n v="0.25"/>
    <n v="-46.372500000000016"/>
    <n v="43.08"/>
    <s v="Low"/>
  </r>
  <r>
    <n v="24438"/>
    <s v="ID-2014-74238"/>
    <d v="2016-02-17T00:00:00"/>
    <d v="2016-02-18T00:00:00"/>
    <s v="First Class"/>
    <s v="KH-16510"/>
    <s v="Keith Herrera"/>
    <x v="2"/>
    <x v="8"/>
    <x v="4"/>
    <x v="0"/>
    <m/>
    <s v="APAC"/>
    <s v="Southeast Asia"/>
    <s v="FUR-CH-10001207"/>
    <x v="2"/>
    <s v="Chairs"/>
    <s v="Hon Executive Leather Armchair, Red"/>
    <n v="344.5424999999999"/>
    <n v="1"/>
    <n v="0.25"/>
    <n v="-45.967499999999973"/>
    <n v="81.81"/>
    <s v="High"/>
  </r>
  <r>
    <n v="24208"/>
    <s v="ID-2014-38069"/>
    <d v="2016-05-31T00:00:00"/>
    <d v="2016-06-05T00:00:00"/>
    <s v="Standard Class"/>
    <s v="JB-16000"/>
    <s v="Joy Bell-"/>
    <x v="2"/>
    <x v="0"/>
    <x v="0"/>
    <x v="0"/>
    <m/>
    <s v="APAC"/>
    <s v="Southeast Asia"/>
    <s v="TEC-PH-10002152"/>
    <x v="1"/>
    <s v="Phones"/>
    <s v="Apple Headset, Cordless"/>
    <n v="342.49499999999995"/>
    <n v="6"/>
    <n v="0.25"/>
    <n v="27.31500000000004"/>
    <n v="22.46"/>
    <s v="Medium"/>
  </r>
  <r>
    <n v="26362"/>
    <s v="IN-2011-65159"/>
    <d v="2013-01-03T00:00:00"/>
    <d v="2013-01-07T00:00:00"/>
    <s v="Second Class"/>
    <s v="LB-16735"/>
    <s v="Larry Blacks"/>
    <x v="2"/>
    <x v="0"/>
    <x v="0"/>
    <x v="0"/>
    <m/>
    <s v="APAC"/>
    <s v="Southeast Asia"/>
    <s v="OFF-ST-10003020"/>
    <x v="0"/>
    <s v="Storage"/>
    <s v="Tenex Lockers, Industrial"/>
    <n v="337.6395"/>
    <n v="3"/>
    <n v="0.45"/>
    <n v="-122.80049999999997"/>
    <n v="33.75"/>
    <s v="High"/>
  </r>
  <r>
    <n v="24230"/>
    <s v="IN-2013-11973"/>
    <d v="2015-06-10T00:00:00"/>
    <d v="2015-06-14T00:00:00"/>
    <s v="Standard Class"/>
    <s v="PF-19225"/>
    <s v="Phillip Flathmann"/>
    <x v="2"/>
    <x v="0"/>
    <x v="0"/>
    <x v="0"/>
    <m/>
    <s v="APAC"/>
    <s v="Southeast Asia"/>
    <s v="FUR-BO-10004537"/>
    <x v="2"/>
    <s v="Bookcases"/>
    <s v="Dania Floating Shelf Set, Mobile"/>
    <n v="335.1465"/>
    <n v="3"/>
    <n v="0.35"/>
    <n v="10.246500000000026"/>
    <n v="48.86"/>
    <s v="High"/>
  </r>
  <r>
    <n v="20785"/>
    <s v="ID-2014-69303"/>
    <d v="2016-12-30T00:00:00"/>
    <d v="2015-01-03T00:00:00"/>
    <s v="Standard Class"/>
    <s v="GM-14680"/>
    <s v="Greg Matthias"/>
    <x v="2"/>
    <x v="13"/>
    <x v="0"/>
    <x v="0"/>
    <m/>
    <s v="APAC"/>
    <s v="Southeast Asia"/>
    <s v="TEC-CO-10001726"/>
    <x v="1"/>
    <s v="Copiers"/>
    <s v="HP Fax and Copier, High-Speed"/>
    <n v="333.62549999999999"/>
    <n v="3"/>
    <n v="0.35"/>
    <n v="-56.524499999999961"/>
    <n v="32.97"/>
    <s v="High"/>
  </r>
  <r>
    <n v="29824"/>
    <s v="IN-2011-39994"/>
    <d v="2013-06-27T00:00:00"/>
    <d v="2013-06-29T00:00:00"/>
    <s v="First Class"/>
    <s v="CR-12625"/>
    <s v="Corey Roper"/>
    <x v="0"/>
    <x v="0"/>
    <x v="0"/>
    <x v="0"/>
    <m/>
    <s v="APAC"/>
    <s v="Southeast Asia"/>
    <s v="TEC-PH-10002104"/>
    <x v="1"/>
    <s v="Phones"/>
    <s v="Cisco Speaker Phone, Cordless"/>
    <n v="317.99249999999995"/>
    <n v="3"/>
    <n v="0.25"/>
    <n v="16.942500000000024"/>
    <n v="36.33"/>
    <s v="High"/>
  </r>
  <r>
    <n v="21520"/>
    <s v="ID-2012-57193"/>
    <d v="2014-07-10T00:00:00"/>
    <d v="2014-07-15T00:00:00"/>
    <s v="Standard Class"/>
    <s v="TS-21160"/>
    <s v="Theresa Swint"/>
    <x v="1"/>
    <x v="13"/>
    <x v="0"/>
    <x v="0"/>
    <m/>
    <s v="APAC"/>
    <s v="Southeast Asia"/>
    <s v="TEC-AC-10002335"/>
    <x v="1"/>
    <s v="Accessories"/>
    <s v="Belkin Memory Card, USB"/>
    <n v="316.30499999999995"/>
    <n v="5"/>
    <n v="0.45"/>
    <n v="-241.54499999999996"/>
    <n v="28.83"/>
    <s v="Medium"/>
  </r>
  <r>
    <n v="27853"/>
    <s v="ID-2013-20471"/>
    <d v="2015-01-09T00:00:00"/>
    <d v="2015-01-12T00:00:00"/>
    <s v="First Class"/>
    <s v="LF-17185"/>
    <s v="Luke Foster"/>
    <x v="2"/>
    <x v="7"/>
    <x v="3"/>
    <x v="0"/>
    <m/>
    <s v="APAC"/>
    <s v="Southeast Asia"/>
    <s v="OFF-ST-10000622"/>
    <x v="0"/>
    <s v="Storage"/>
    <s v="Rogers File Cart, Single Width"/>
    <n v="312.57600000000008"/>
    <n v="4"/>
    <n v="0.45"/>
    <n v="-210.38400000000001"/>
    <n v="64.09"/>
    <s v="Medium"/>
  </r>
  <r>
    <n v="29356"/>
    <s v="ID-2014-77703"/>
    <d v="2016-11-14T00:00:00"/>
    <d v="2016-11-18T00:00:00"/>
    <s v="Standard Class"/>
    <s v="CC-12430"/>
    <s v="Chuck Clark"/>
    <x v="0"/>
    <x v="4"/>
    <x v="2"/>
    <x v="0"/>
    <m/>
    <s v="APAC"/>
    <s v="Southeast Asia"/>
    <s v="TEC-PH-10003430"/>
    <x v="1"/>
    <s v="Phones"/>
    <s v="Cisco Speaker Phone, VoIP"/>
    <n v="311.78249999999997"/>
    <n v="3"/>
    <n v="0.25"/>
    <n v="-45.787499999999994"/>
    <n v="23.77"/>
    <s v="Medium"/>
  </r>
  <r>
    <n v="21452"/>
    <s v="IN-2012-67490"/>
    <d v="2014-11-08T00:00:00"/>
    <d v="2014-11-13T00:00:00"/>
    <s v="Standard Class"/>
    <s v="GM-14695"/>
    <s v="Greg Maxwell"/>
    <x v="1"/>
    <x v="13"/>
    <x v="0"/>
    <x v="0"/>
    <m/>
    <s v="APAC"/>
    <s v="Southeast Asia"/>
    <s v="FUR-CH-10004694"/>
    <x v="2"/>
    <s v="Chairs"/>
    <s v="Office Star Rocking Chair, Black"/>
    <n v="311.58000000000004"/>
    <n v="3"/>
    <n v="0.25"/>
    <n v="45.629999999999995"/>
    <n v="19.420000000000002"/>
    <s v="Medium"/>
  </r>
  <r>
    <n v="24668"/>
    <s v="ID-2013-76128"/>
    <d v="2015-09-27T00:00:00"/>
    <d v="2015-09-30T00:00:00"/>
    <s v="Second Class"/>
    <s v="TC-21295"/>
    <s v="Toby Carlisle"/>
    <x v="2"/>
    <x v="0"/>
    <x v="0"/>
    <x v="0"/>
    <m/>
    <s v="APAC"/>
    <s v="Southeast Asia"/>
    <s v="FUR-FU-10001557"/>
    <x v="2"/>
    <s v="Furnishings"/>
    <s v="Advantus Clock, Duo Pack"/>
    <n v="308.70000000000005"/>
    <n v="8"/>
    <n v="0.25"/>
    <n v="-41.220000000000013"/>
    <n v="36.43"/>
    <s v="Medium"/>
  </r>
  <r>
    <n v="25340"/>
    <s v="ID-2013-78298"/>
    <d v="2015-11-07T00:00:00"/>
    <d v="2015-11-11T00:00:00"/>
    <s v="Standard Class"/>
    <s v="CK-12205"/>
    <s v="Chloris Kastensmidt"/>
    <x v="2"/>
    <x v="0"/>
    <x v="0"/>
    <x v="0"/>
    <m/>
    <s v="APAC"/>
    <s v="Southeast Asia"/>
    <s v="TEC-MA-10003338"/>
    <x v="1"/>
    <s v="Machines"/>
    <s v="Panasonic Phone, Red"/>
    <n v="307.46250000000003"/>
    <n v="5"/>
    <n v="0.25"/>
    <n v="12.262500000000003"/>
    <n v="52.4"/>
    <s v="High"/>
  </r>
  <r>
    <n v="27499"/>
    <s v="IN-2014-35227"/>
    <d v="2016-01-15T00:00:00"/>
    <d v="2016-01-15T00:00:00"/>
    <s v="Same Day"/>
    <s v="SP-20620"/>
    <s v="Stefania Perrino"/>
    <x v="1"/>
    <x v="13"/>
    <x v="0"/>
    <x v="0"/>
    <m/>
    <s v="APAC"/>
    <s v="Southeast Asia"/>
    <s v="FUR-FU-10000482"/>
    <x v="2"/>
    <s v="Furnishings"/>
    <s v="Eldon Photo Frame, Duo Pack"/>
    <n v="305.39249999999998"/>
    <n v="7"/>
    <n v="0.25"/>
    <n v="8.0325000000000131"/>
    <n v="67.430000000000007"/>
    <s v="High"/>
  </r>
  <r>
    <n v="26772"/>
    <s v="ID-2014-60665"/>
    <d v="2016-08-13T00:00:00"/>
    <d v="2016-08-18T00:00:00"/>
    <s v="Standard Class"/>
    <s v="LC-16960"/>
    <s v="Lindsay Castell"/>
    <x v="0"/>
    <x v="0"/>
    <x v="0"/>
    <x v="0"/>
    <m/>
    <s v="APAC"/>
    <s v="Southeast Asia"/>
    <s v="FUR-CH-10001832"/>
    <x v="2"/>
    <s v="Chairs"/>
    <s v="Novimex Rocking Chair, Red"/>
    <n v="295.71749999999997"/>
    <n v="3"/>
    <n v="0.25"/>
    <n v="-67.072499999999991"/>
    <n v="56.13"/>
    <s v="High"/>
  </r>
  <r>
    <n v="25988"/>
    <s v="ID-2012-32840"/>
    <d v="2014-08-13T00:00:00"/>
    <d v="2014-08-18T00:00:00"/>
    <s v="Standard Class"/>
    <s v="GZ-14470"/>
    <s v="Gary Zandusky"/>
    <x v="2"/>
    <x v="0"/>
    <x v="0"/>
    <x v="0"/>
    <m/>
    <s v="APAC"/>
    <s v="Southeast Asia"/>
    <s v="FUR-BO-10002285"/>
    <x v="2"/>
    <s v="Bookcases"/>
    <s v="Safco Corner Shelving, Pine"/>
    <n v="294.0795"/>
    <n v="3"/>
    <n v="0.35"/>
    <n v="-85.990499999999997"/>
    <n v="13.25"/>
    <s v="Medium"/>
  </r>
  <r>
    <n v="22779"/>
    <s v="ID-2013-40708"/>
    <d v="2015-10-17T00:00:00"/>
    <d v="2015-10-21T00:00:00"/>
    <s v="Standard Class"/>
    <s v="KS-16300"/>
    <s v="Karen Seio"/>
    <x v="1"/>
    <x v="0"/>
    <x v="0"/>
    <x v="0"/>
    <m/>
    <s v="APAC"/>
    <s v="Southeast Asia"/>
    <s v="TEC-CO-10000259"/>
    <x v="1"/>
    <s v="Copiers"/>
    <s v="Hewlett Ink, Color"/>
    <n v="292.73400000000004"/>
    <n v="3"/>
    <n v="0.35"/>
    <n v="-135.126"/>
    <n v="19.8"/>
    <s v="Medium"/>
  </r>
  <r>
    <n v="28592"/>
    <s v="ID-2014-73678"/>
    <d v="2016-10-23T00:00:00"/>
    <d v="2016-10-28T00:00:00"/>
    <s v="Standard Class"/>
    <s v="AO-10810"/>
    <s v="Anthony O'Donnell"/>
    <x v="1"/>
    <x v="3"/>
    <x v="0"/>
    <x v="0"/>
    <m/>
    <s v="APAC"/>
    <s v="Southeast Asia"/>
    <s v="OFF-SU-10001573"/>
    <x v="0"/>
    <s v="Supplies"/>
    <s v="Kleencut Shears, Serrated"/>
    <n v="286.90199999999999"/>
    <n v="12"/>
    <n v="0.45"/>
    <n v="-203.77799999999999"/>
    <n v="21.18"/>
    <s v="Medium"/>
  </r>
  <r>
    <n v="23514"/>
    <s v="ID-2012-40176"/>
    <d v="2014-10-01T00:00:00"/>
    <d v="2014-10-05T00:00:00"/>
    <s v="Standard Class"/>
    <s v="HM-14860"/>
    <s v="Harry Marie"/>
    <x v="1"/>
    <x v="0"/>
    <x v="0"/>
    <x v="0"/>
    <m/>
    <s v="APAC"/>
    <s v="Southeast Asia"/>
    <s v="FUR-BO-10002736"/>
    <x v="2"/>
    <s v="Bookcases"/>
    <s v="Sauder Stackable Bookrack, Mobile"/>
    <n v="286.29899999999998"/>
    <n v="3"/>
    <n v="0.35"/>
    <n v="-83.690999999999974"/>
    <n v="23.1"/>
    <s v="Medium"/>
  </r>
  <r>
    <n v="23067"/>
    <s v="ID-2013-55401"/>
    <d v="2015-08-07T00:00:00"/>
    <d v="2015-08-09T00:00:00"/>
    <s v="First Class"/>
    <s v="CS-11860"/>
    <s v="Cari Schnelling"/>
    <x v="2"/>
    <x v="0"/>
    <x v="0"/>
    <x v="0"/>
    <m/>
    <s v="APAC"/>
    <s v="Southeast Asia"/>
    <s v="TEC-AC-10002244"/>
    <x v="1"/>
    <s v="Accessories"/>
    <s v="Enermax Router, Erganomic"/>
    <n v="281.75400000000008"/>
    <n v="2"/>
    <n v="0.45"/>
    <n v="-117.84600000000003"/>
    <n v="32.14"/>
    <s v="High"/>
  </r>
  <r>
    <n v="22457"/>
    <s v="ID-2014-61526"/>
    <d v="2016-12-20T00:00:00"/>
    <d v="2016-12-24T00:00:00"/>
    <s v="Standard Class"/>
    <s v="TC-21145"/>
    <s v="Theresa Coyne"/>
    <x v="1"/>
    <x v="7"/>
    <x v="3"/>
    <x v="0"/>
    <m/>
    <s v="APAC"/>
    <s v="Southeast Asia"/>
    <s v="TEC-CO-10004263"/>
    <x v="1"/>
    <s v="Copiers"/>
    <s v="Hewlett Personal Copier, Laser"/>
    <n v="281.32650000000001"/>
    <n v="3"/>
    <n v="0.35"/>
    <n v="-134.20349999999996"/>
    <n v="35.99"/>
    <s v="High"/>
  </r>
  <r>
    <n v="21805"/>
    <s v="ID-2014-65495"/>
    <d v="2016-10-08T00:00:00"/>
    <d v="2016-10-10T00:00:00"/>
    <s v="Second Class"/>
    <s v="CD-11920"/>
    <s v="Carlos Daly"/>
    <x v="2"/>
    <x v="0"/>
    <x v="0"/>
    <x v="0"/>
    <m/>
    <s v="APAC"/>
    <s v="Southeast Asia"/>
    <s v="TEC-CO-10004929"/>
    <x v="1"/>
    <s v="Copiers"/>
    <s v="Canon Personal Copier, Color"/>
    <n v="281.15100000000007"/>
    <n v="3"/>
    <n v="0.35"/>
    <n v="-95.229000000000013"/>
    <n v="14.59"/>
    <s v="Medium"/>
  </r>
  <r>
    <n v="25341"/>
    <s v="ID-2013-78298"/>
    <d v="2015-11-07T00:00:00"/>
    <d v="2015-11-11T00:00:00"/>
    <s v="Standard Class"/>
    <s v="CK-12205"/>
    <s v="Chloris Kastensmidt"/>
    <x v="2"/>
    <x v="0"/>
    <x v="0"/>
    <x v="0"/>
    <m/>
    <s v="APAC"/>
    <s v="Southeast Asia"/>
    <s v="TEC-PH-10000822"/>
    <x v="1"/>
    <s v="Phones"/>
    <s v="Apple Speaker Phone, Full Size"/>
    <n v="280.32749999999999"/>
    <n v="3"/>
    <n v="0.25"/>
    <n v="-3.8024999999999807"/>
    <n v="34.299999999999997"/>
    <s v="High"/>
  </r>
  <r>
    <n v="28183"/>
    <s v="ID-2011-64837"/>
    <d v="2013-12-23T00:00:00"/>
    <d v="2013-12-27T00:00:00"/>
    <s v="Standard Class"/>
    <s v="SV-20935"/>
    <s v="Susan Vittorini"/>
    <x v="2"/>
    <x v="0"/>
    <x v="0"/>
    <x v="0"/>
    <m/>
    <s v="APAC"/>
    <s v="Southeast Asia"/>
    <s v="TEC-AC-10000861"/>
    <x v="1"/>
    <s v="Accessories"/>
    <s v="SanDisk Router, Erganomic"/>
    <n v="279.57600000000002"/>
    <n v="2"/>
    <n v="0.45"/>
    <n v="-147.44399999999999"/>
    <n v="18.95"/>
    <s v="Medium"/>
  </r>
  <r>
    <n v="27486"/>
    <s v="IN-2012-72978"/>
    <d v="2014-07-03T00:00:00"/>
    <d v="2014-07-07T00:00:00"/>
    <s v="Standard Class"/>
    <s v="DS-13030"/>
    <s v="Darrin Sayre"/>
    <x v="0"/>
    <x v="1"/>
    <x v="1"/>
    <x v="0"/>
    <m/>
    <s v="APAC"/>
    <s v="Southeast Asia"/>
    <s v="FUR-CH-10003910"/>
    <x v="2"/>
    <s v="Chairs"/>
    <s v="Harbour Creations Chairmat, Adjustable"/>
    <n v="279.33750000000003"/>
    <n v="5"/>
    <n v="0.25"/>
    <n v="70.687499999999972"/>
    <n v="24.21"/>
    <s v="High"/>
  </r>
  <r>
    <n v="27387"/>
    <s v="ID-2011-40953"/>
    <d v="2013-07-04T00:00:00"/>
    <d v="2013-07-07T00:00:00"/>
    <s v="First Class"/>
    <s v="AA-10315"/>
    <s v="Alex Avila"/>
    <x v="2"/>
    <x v="2"/>
    <x v="0"/>
    <x v="0"/>
    <m/>
    <s v="APAC"/>
    <s v="Southeast Asia"/>
    <s v="OFF-SU-10001308"/>
    <x v="0"/>
    <s v="Supplies"/>
    <s v="Fiskars Trimmer, Serrated"/>
    <n v="278.85000000000008"/>
    <n v="13"/>
    <n v="0.45"/>
    <n v="-141.96000000000006"/>
    <n v="30.01"/>
    <s v="High"/>
  </r>
  <r>
    <n v="21442"/>
    <s v="ID-2011-58670"/>
    <d v="2013-01-07T00:00:00"/>
    <d v="2013-01-11T00:00:00"/>
    <s v="Standard Class"/>
    <s v="MS-17365"/>
    <s v="Maribeth Schnelling"/>
    <x v="2"/>
    <x v="0"/>
    <x v="0"/>
    <x v="0"/>
    <m/>
    <s v="APAC"/>
    <s v="Southeast Asia"/>
    <s v="TEC-AC-10003413"/>
    <x v="1"/>
    <s v="Accessories"/>
    <s v="Logitech Router, Programmable"/>
    <n v="273.702"/>
    <n v="2"/>
    <n v="0.45"/>
    <n v="-44.837999999999965"/>
    <n v="42.19"/>
    <s v="High"/>
  </r>
  <r>
    <n v="29455"/>
    <s v="IN-2011-42892"/>
    <d v="2013-06-28T00:00:00"/>
    <d v="2013-07-02T00:00:00"/>
    <s v="Second Class"/>
    <s v="MM-18280"/>
    <s v="Muhammed MacIntyre"/>
    <x v="1"/>
    <x v="0"/>
    <x v="0"/>
    <x v="0"/>
    <m/>
    <s v="APAC"/>
    <s v="Southeast Asia"/>
    <s v="FUR-FU-10000918"/>
    <x v="2"/>
    <s v="Furnishings"/>
    <s v="Deflect-O Photo Frame, Duo Pack"/>
    <n v="272.78999999999996"/>
    <n v="7"/>
    <n v="0.25"/>
    <n v="32.549999999999997"/>
    <n v="15.38"/>
    <s v="Medium"/>
  </r>
  <r>
    <n v="30052"/>
    <s v="ID-2011-17237"/>
    <d v="2013-08-02T00:00:00"/>
    <d v="2013-08-08T00:00:00"/>
    <s v="Standard Class"/>
    <s v="VF-21715"/>
    <s v="Vicky Freymann"/>
    <x v="0"/>
    <x v="0"/>
    <x v="0"/>
    <x v="0"/>
    <m/>
    <s v="APAC"/>
    <s v="Southeast Asia"/>
    <s v="TEC-MA-10001831"/>
    <x v="1"/>
    <s v="Machines"/>
    <s v="Konica Card Printer, Durable"/>
    <n v="262.93500000000006"/>
    <n v="2"/>
    <n v="0.25"/>
    <n v="-66.64500000000001"/>
    <n v="9.66"/>
    <s v="Medium"/>
  </r>
  <r>
    <n v="26255"/>
    <s v="ID-2012-61071"/>
    <d v="2014-08-22T00:00:00"/>
    <d v="2014-08-27T00:00:00"/>
    <s v="Standard Class"/>
    <s v="TG-21640"/>
    <s v="Trudy Glocke"/>
    <x v="2"/>
    <x v="0"/>
    <x v="0"/>
    <x v="0"/>
    <m/>
    <s v="APAC"/>
    <s v="Southeast Asia"/>
    <s v="FUR-CH-10003760"/>
    <x v="2"/>
    <s v="Chairs"/>
    <s v="Office Star Bag Chairs, Set of Two"/>
    <n v="259.60500000000002"/>
    <n v="6"/>
    <n v="0.25"/>
    <n v="72.585000000000008"/>
    <n v="20.78"/>
    <s v="Medium"/>
  </r>
  <r>
    <n v="25415"/>
    <s v="IN-2012-51614"/>
    <d v="2014-06-16T00:00:00"/>
    <d v="2014-06-21T00:00:00"/>
    <s v="Standard Class"/>
    <s v="MH-18115"/>
    <s v="Mick Hernandez"/>
    <x v="0"/>
    <x v="0"/>
    <x v="0"/>
    <x v="0"/>
    <m/>
    <s v="APAC"/>
    <s v="Southeast Asia"/>
    <s v="TEC-MA-10002941"/>
    <x v="1"/>
    <s v="Machines"/>
    <s v="Okidata Card Printer, Red"/>
    <n v="259.47000000000003"/>
    <n v="2"/>
    <n v="0.25"/>
    <n v="34.589999999999989"/>
    <n v="22.62"/>
    <s v="High"/>
  </r>
  <r>
    <n v="25873"/>
    <s v="IN-2014-35297"/>
    <d v="2016-02-13T00:00:00"/>
    <d v="2016-02-14T00:00:00"/>
    <s v="First Class"/>
    <s v="KB-16405"/>
    <s v="Katrina Bavinger"/>
    <x v="0"/>
    <x v="0"/>
    <x v="0"/>
    <x v="0"/>
    <m/>
    <s v="APAC"/>
    <s v="Southeast Asia"/>
    <s v="FUR-BO-10002423"/>
    <x v="2"/>
    <s v="Bookcases"/>
    <s v="Safco Floating Shelf Set, Mobile"/>
    <n v="259.03800000000001"/>
    <n v="2"/>
    <n v="0.35"/>
    <n v="-23.921999999999969"/>
    <n v="28.99"/>
    <s v="Medium"/>
  </r>
  <r>
    <n v="22327"/>
    <s v="ID-2012-76457"/>
    <d v="2014-09-06T00:00:00"/>
    <d v="2014-09-11T00:00:00"/>
    <s v="Standard Class"/>
    <s v="NG-18430"/>
    <s v="Nathan Gelder"/>
    <x v="2"/>
    <x v="0"/>
    <x v="0"/>
    <x v="0"/>
    <m/>
    <s v="APAC"/>
    <s v="Southeast Asia"/>
    <s v="TEC-MA-10001607"/>
    <x v="1"/>
    <s v="Machines"/>
    <s v="Konica Phone, Durable"/>
    <n v="258.93"/>
    <n v="4"/>
    <n v="0.25"/>
    <n v="-48.39"/>
    <n v="19"/>
    <s v="Medium"/>
  </r>
  <r>
    <n v="28925"/>
    <s v="ID-2012-37005"/>
    <d v="2014-10-24T00:00:00"/>
    <d v="2014-10-30T00:00:00"/>
    <s v="Standard Class"/>
    <s v="SH-20395"/>
    <s v="Shahid Hopkins"/>
    <x v="2"/>
    <x v="0"/>
    <x v="0"/>
    <x v="0"/>
    <m/>
    <s v="APAC"/>
    <s v="Southeast Asia"/>
    <s v="TEC-AC-10002568"/>
    <x v="1"/>
    <s v="Accessories"/>
    <s v="Enermax Numeric Keypad, Erganomic"/>
    <n v="258.85200000000003"/>
    <n v="8"/>
    <n v="0.45"/>
    <n v="-0.10800000000000409"/>
    <n v="21.22"/>
    <s v="Medium"/>
  </r>
  <r>
    <n v="20784"/>
    <s v="ID-2014-69303"/>
    <d v="2016-12-30T00:00:00"/>
    <d v="2015-01-03T00:00:00"/>
    <s v="Standard Class"/>
    <s v="GM-14680"/>
    <s v="Greg Matthias"/>
    <x v="2"/>
    <x v="13"/>
    <x v="0"/>
    <x v="0"/>
    <m/>
    <s v="APAC"/>
    <s v="Southeast Asia"/>
    <s v="FUR-CH-10003692"/>
    <x v="2"/>
    <s v="Chairs"/>
    <s v="SAFCO Swivel Stool, Set of Two"/>
    <n v="255.285"/>
    <n v="2"/>
    <n v="0.25"/>
    <n v="-47.655000000000001"/>
    <n v="31.33"/>
    <s v="High"/>
  </r>
  <r>
    <n v="25337"/>
    <s v="ID-2013-78298"/>
    <d v="2015-11-07T00:00:00"/>
    <d v="2015-11-11T00:00:00"/>
    <s v="Standard Class"/>
    <s v="CK-12205"/>
    <s v="Chloris Kastensmidt"/>
    <x v="2"/>
    <x v="0"/>
    <x v="0"/>
    <x v="0"/>
    <m/>
    <s v="APAC"/>
    <s v="Southeast Asia"/>
    <s v="FUR-CH-10002209"/>
    <x v="2"/>
    <s v="Chairs"/>
    <s v="Novimex Chairmat, Red"/>
    <n v="253.53000000000003"/>
    <n v="6"/>
    <n v="0.25"/>
    <n v="9.9899999999999949"/>
    <n v="16.72"/>
    <s v="High"/>
  </r>
  <r>
    <n v="27409"/>
    <s v="IN-2011-77885"/>
    <d v="2013-08-01T00:00:00"/>
    <d v="2013-08-06T00:00:00"/>
    <s v="Standard Class"/>
    <s v="JF-15565"/>
    <s v="Jill Fjeld"/>
    <x v="2"/>
    <x v="0"/>
    <x v="0"/>
    <x v="0"/>
    <m/>
    <s v="APAC"/>
    <s v="Southeast Asia"/>
    <s v="FUR-BO-10003086"/>
    <x v="2"/>
    <s v="Bookcases"/>
    <s v="Safco Library with Doors, Traditional"/>
    <n v="253.36350000000002"/>
    <n v="1"/>
    <n v="0.35"/>
    <n v="-35.086500000000001"/>
    <n v="10"/>
    <s v="Medium"/>
  </r>
  <r>
    <n v="25272"/>
    <s v="IN-2014-17580"/>
    <d v="2016-09-23T00:00:00"/>
    <d v="2016-09-29T00:00:00"/>
    <s v="Standard Class"/>
    <s v="HR-14770"/>
    <s v="Hallie Redmond"/>
    <x v="0"/>
    <x v="2"/>
    <x v="0"/>
    <x v="0"/>
    <m/>
    <s v="APAC"/>
    <s v="Southeast Asia"/>
    <s v="FUR-CH-10000430"/>
    <x v="2"/>
    <s v="Chairs"/>
    <s v="SAFCO Swivel Stool, Red"/>
    <n v="251.91"/>
    <n v="2"/>
    <n v="0.25"/>
    <n v="47.009999999999991"/>
    <n v="23.31"/>
    <s v="Medium"/>
  </r>
  <r>
    <n v="27149"/>
    <s v="IN-2011-41394"/>
    <d v="2013-11-25T00:00:00"/>
    <d v="2013-11-30T00:00:00"/>
    <s v="Standard Class"/>
    <s v="AG-10675"/>
    <s v="Anna Gayman"/>
    <x v="2"/>
    <x v="9"/>
    <x v="2"/>
    <x v="0"/>
    <m/>
    <s v="APAC"/>
    <s v="Southeast Asia"/>
    <s v="TEC-CO-10000565"/>
    <x v="1"/>
    <s v="Copiers"/>
    <s v="Canon Fax and Copier, Color"/>
    <n v="250.61399999999998"/>
    <n v="2"/>
    <n v="0.35"/>
    <n v="50.094000000000023"/>
    <n v="14.6"/>
    <s v="Medium"/>
  </r>
  <r>
    <n v="26730"/>
    <s v="ID-2013-25742"/>
    <d v="2015-01-28T00:00:00"/>
    <d v="2015-01-30T00:00:00"/>
    <s v="First Class"/>
    <s v="SC-20695"/>
    <s v="Steve Chapman"/>
    <x v="1"/>
    <x v="0"/>
    <x v="0"/>
    <x v="0"/>
    <m/>
    <s v="APAC"/>
    <s v="Southeast Asia"/>
    <s v="TEC-CO-10001352"/>
    <x v="1"/>
    <s v="Copiers"/>
    <s v="HP Ink, Digital"/>
    <n v="250.26300000000003"/>
    <n v="3"/>
    <n v="0.35"/>
    <n v="-7.7670000000000101"/>
    <n v="39.93"/>
    <s v="High"/>
  </r>
  <r>
    <n v="20322"/>
    <s v="IN-2011-32126"/>
    <d v="2013-09-02T00:00:00"/>
    <d v="2013-09-08T00:00:00"/>
    <s v="Standard Class"/>
    <s v="GA-14515"/>
    <s v="George Ashbrook"/>
    <x v="2"/>
    <x v="3"/>
    <x v="0"/>
    <x v="0"/>
    <m/>
    <s v="APAC"/>
    <s v="Southeast Asia"/>
    <s v="FUR-CH-10001313"/>
    <x v="2"/>
    <s v="Chairs"/>
    <s v="SAFCO Steel Folding Chair, Black"/>
    <n v="249.84"/>
    <n v="4"/>
    <n v="0.25"/>
    <n v="69.84"/>
    <n v="50.32"/>
    <s v="Low"/>
  </r>
  <r>
    <n v="27505"/>
    <s v="ID-2013-13562"/>
    <d v="2015-09-03T00:00:00"/>
    <d v="2015-09-08T00:00:00"/>
    <s v="Standard Class"/>
    <s v="DO-13435"/>
    <s v="Denny Ordway"/>
    <x v="2"/>
    <x v="0"/>
    <x v="0"/>
    <x v="0"/>
    <m/>
    <s v="APAC"/>
    <s v="Southeast Asia"/>
    <s v="FUR-CH-10001313"/>
    <x v="2"/>
    <s v="Chairs"/>
    <s v="SAFCO Steel Folding Chair, Black"/>
    <n v="249.84"/>
    <n v="4"/>
    <n v="0.25"/>
    <n v="69.84"/>
    <n v="18.66"/>
    <s v="Medium"/>
  </r>
  <r>
    <n v="24206"/>
    <s v="ID-2014-38069"/>
    <d v="2016-05-31T00:00:00"/>
    <d v="2016-06-05T00:00:00"/>
    <s v="Standard Class"/>
    <s v="JB-16000"/>
    <s v="Joy Bell-"/>
    <x v="2"/>
    <x v="0"/>
    <x v="0"/>
    <x v="0"/>
    <m/>
    <s v="APAC"/>
    <s v="Southeast Asia"/>
    <s v="TEC-CO-10000660"/>
    <x v="1"/>
    <s v="Copiers"/>
    <s v="Brother Fax and Copier, Laser"/>
    <n v="248.93700000000001"/>
    <n v="2"/>
    <n v="0.35"/>
    <n v="-61.323000000000008"/>
    <n v="17.47"/>
    <s v="Medium"/>
  </r>
  <r>
    <n v="24114"/>
    <s v="ID-2011-59293"/>
    <d v="2013-11-04T00:00:00"/>
    <d v="2013-11-06T00:00:00"/>
    <s v="Second Class"/>
    <s v="JD-16015"/>
    <s v="Joy Daniels"/>
    <x v="2"/>
    <x v="0"/>
    <x v="0"/>
    <x v="0"/>
    <m/>
    <s v="APAC"/>
    <s v="Southeast Asia"/>
    <s v="FUR-CH-10004312"/>
    <x v="2"/>
    <s v="Chairs"/>
    <s v="Hon Bag Chairs, Set of Two"/>
    <n v="248.84999999999997"/>
    <n v="7"/>
    <n v="0.25"/>
    <n v="-3.3599999999999994"/>
    <n v="28.46"/>
    <s v="High"/>
  </r>
  <r>
    <n v="23096"/>
    <s v="ID-2011-66412"/>
    <d v="2013-03-30T00:00:00"/>
    <d v="2013-04-03T00:00:00"/>
    <s v="Standard Class"/>
    <s v="AF-10870"/>
    <s v="Art Ferguson"/>
    <x v="2"/>
    <x v="0"/>
    <x v="0"/>
    <x v="0"/>
    <m/>
    <s v="APAC"/>
    <s v="Southeast Asia"/>
    <s v="TEC-CO-10002150"/>
    <x v="1"/>
    <s v="Copiers"/>
    <s v="Canon Fax and Copier, Digital"/>
    <n v="248.274"/>
    <n v="2"/>
    <n v="0.35"/>
    <n v="57.294000000000011"/>
    <n v="15.83"/>
    <s v="Medium"/>
  </r>
  <r>
    <n v="30125"/>
    <s v="IN-2012-40785"/>
    <d v="2014-06-29T00:00:00"/>
    <d v="2014-07-04T00:00:00"/>
    <s v="Standard Class"/>
    <s v="RC-19825"/>
    <s v="Roy Collins"/>
    <x v="2"/>
    <x v="0"/>
    <x v="0"/>
    <x v="0"/>
    <m/>
    <s v="APAC"/>
    <s v="Southeast Asia"/>
    <s v="FUR-FU-10001410"/>
    <x v="2"/>
    <s v="Furnishings"/>
    <s v="Tenex Clock, Durable"/>
    <n v="248.22"/>
    <n v="7"/>
    <n v="0.25"/>
    <n v="56.069999999999993"/>
    <n v="39.369999999999997"/>
    <s v="High"/>
  </r>
  <r>
    <n v="30012"/>
    <s v="ID-2014-63864"/>
    <d v="2016-12-30T00:00:00"/>
    <d v="2015-01-03T00:00:00"/>
    <s v="Standard Class"/>
    <s v="RF-19735"/>
    <s v="Roland Fjeld"/>
    <x v="2"/>
    <x v="0"/>
    <x v="0"/>
    <x v="0"/>
    <m/>
    <s v="APAC"/>
    <s v="Southeast Asia"/>
    <s v="FUR-FU-10004158"/>
    <x v="2"/>
    <s v="Furnishings"/>
    <s v="Deflect-O Frame, Black"/>
    <n v="247.59"/>
    <n v="3"/>
    <n v="0.25"/>
    <n v="39.599999999999994"/>
    <n v="10.29"/>
    <s v="Medium"/>
  </r>
  <r>
    <n v="23587"/>
    <s v="IN-2013-33995"/>
    <d v="2015-03-23T00:00:00"/>
    <d v="2015-03-25T00:00:00"/>
    <s v="First Class"/>
    <s v="AR-10540"/>
    <s v="Andy Reiter"/>
    <x v="2"/>
    <x v="0"/>
    <x v="0"/>
    <x v="0"/>
    <m/>
    <s v="APAC"/>
    <s v="Southeast Asia"/>
    <s v="TEC-CO-10003982"/>
    <x v="1"/>
    <s v="Copiers"/>
    <s v="HP Ink, High-Speed"/>
    <n v="247.45499999999998"/>
    <n v="3"/>
    <n v="0.35"/>
    <n v="30.375000000000028"/>
    <n v="80.95"/>
    <s v="Critical"/>
  </r>
  <r>
    <n v="20779"/>
    <s v="ID-2013-37705"/>
    <d v="2015-05-09T00:00:00"/>
    <d v="2015-05-10T00:00:00"/>
    <s v="First Class"/>
    <s v="BF-11005"/>
    <s v="Barry Franz"/>
    <x v="0"/>
    <x v="5"/>
    <x v="0"/>
    <x v="0"/>
    <m/>
    <s v="APAC"/>
    <s v="Southeast Asia"/>
    <s v="FUR-BO-10004161"/>
    <x v="2"/>
    <s v="Bookcases"/>
    <s v="Bush Corner Shelving, Mobile"/>
    <n v="246.69450000000003"/>
    <n v="3"/>
    <n v="0.35"/>
    <n v="-125.27549999999999"/>
    <n v="63.84"/>
    <s v="Medium"/>
  </r>
  <r>
    <n v="29683"/>
    <s v="ID-2014-18665"/>
    <d v="2016-03-15T00:00:00"/>
    <d v="2016-03-21T00:00:00"/>
    <s v="Standard Class"/>
    <s v="NR-18550"/>
    <s v="Nick Radford"/>
    <x v="2"/>
    <x v="16"/>
    <x v="0"/>
    <x v="0"/>
    <m/>
    <s v="APAC"/>
    <s v="Southeast Asia"/>
    <s v="FUR-BO-10004161"/>
    <x v="2"/>
    <s v="Bookcases"/>
    <s v="Bush Corner Shelving, Mobile"/>
    <n v="246.69450000000003"/>
    <n v="3"/>
    <n v="0.35"/>
    <n v="-125.27549999999999"/>
    <n v="24.69"/>
    <s v="Medium"/>
  </r>
  <r>
    <n v="21057"/>
    <s v="IN-2013-67364"/>
    <d v="2015-12-25T00:00:00"/>
    <d v="2015-12-29T00:00:00"/>
    <s v="Standard Class"/>
    <s v="DK-13090"/>
    <s v="Dave Kipp"/>
    <x v="2"/>
    <x v="0"/>
    <x v="0"/>
    <x v="0"/>
    <m/>
    <s v="APAC"/>
    <s v="Southeast Asia"/>
    <s v="TEC-CO-10002380"/>
    <x v="1"/>
    <s v="Copiers"/>
    <s v="Canon Fax and Copier, High-Speed"/>
    <n v="246.40199999999996"/>
    <n v="2"/>
    <n v="0.35"/>
    <n v="-102.37799999999997"/>
    <n v="14.89"/>
    <s v="Medium"/>
  </r>
  <r>
    <n v="25844"/>
    <s v="ID-2013-50347"/>
    <d v="2015-08-28T00:00:00"/>
    <d v="2015-09-04T00:00:00"/>
    <s v="Standard Class"/>
    <s v="SP-20620"/>
    <s v="Stefania Perrino"/>
    <x v="1"/>
    <x v="15"/>
    <x v="0"/>
    <x v="0"/>
    <m/>
    <s v="APAC"/>
    <s v="Southeast Asia"/>
    <s v="OFF-ST-10003547"/>
    <x v="0"/>
    <s v="Storage"/>
    <s v="Smead Shelving, Blue"/>
    <n v="242.20349999999996"/>
    <n v="9"/>
    <n v="0.45"/>
    <n v="-4.5764999999999816"/>
    <n v="26.23"/>
    <s v="Low"/>
  </r>
  <r>
    <n v="25137"/>
    <s v="ID-2013-53224"/>
    <d v="2015-06-21T00:00:00"/>
    <d v="2015-06-22T00:00:00"/>
    <s v="First Class"/>
    <s v="AB-10060"/>
    <s v="Adam Bellavance"/>
    <x v="0"/>
    <x v="13"/>
    <x v="0"/>
    <x v="0"/>
    <m/>
    <s v="APAC"/>
    <s v="Southeast Asia"/>
    <s v="OFF-BI-10004098"/>
    <x v="0"/>
    <s v="Binders"/>
    <s v="Acco 3-Hole Punch, Durable"/>
    <n v="241.89300000000003"/>
    <n v="9"/>
    <n v="0.15000000000000002"/>
    <n v="-39.987000000000009"/>
    <n v="19.59"/>
    <s v="High"/>
  </r>
  <r>
    <n v="29487"/>
    <s v="ID-2012-39595"/>
    <d v="2014-01-13T00:00:00"/>
    <d v="2014-01-17T00:00:00"/>
    <s v="Standard Class"/>
    <s v="TH-21115"/>
    <s v="Thea Hudgings"/>
    <x v="1"/>
    <x v="0"/>
    <x v="0"/>
    <x v="0"/>
    <m/>
    <s v="APAC"/>
    <s v="Southeast Asia"/>
    <s v="FUR-BO-10000112"/>
    <x v="2"/>
    <s v="Bookcases"/>
    <s v="Dania Corner Shelving, Pine"/>
    <n v="240.66899999999998"/>
    <n v="3"/>
    <n v="0.35"/>
    <n v="-26.000999999999976"/>
    <n v="19.03"/>
    <s v="High"/>
  </r>
  <r>
    <n v="22682"/>
    <s v="ID-2013-70367"/>
    <d v="2015-05-22T00:00:00"/>
    <d v="2015-05-25T00:00:00"/>
    <s v="Second Class"/>
    <s v="EK-13795"/>
    <s v="Eileen Kiefer"/>
    <x v="0"/>
    <x v="0"/>
    <x v="0"/>
    <x v="0"/>
    <m/>
    <s v="APAC"/>
    <s v="Southeast Asia"/>
    <s v="FUR-CH-10003419"/>
    <x v="2"/>
    <s v="Chairs"/>
    <s v="Hon Steel Folding Chair, Black"/>
    <n v="236.96999999999997"/>
    <n v="4"/>
    <n v="0.25"/>
    <n v="-34.829999999999991"/>
    <n v="83.48"/>
    <s v="Critical"/>
  </r>
  <r>
    <n v="29905"/>
    <s v="ID-2012-79999"/>
    <d v="2014-07-31T00:00:00"/>
    <d v="2014-08-05T00:00:00"/>
    <s v="Standard Class"/>
    <s v="GH-14425"/>
    <s v="Gary Hwang"/>
    <x v="2"/>
    <x v="0"/>
    <x v="0"/>
    <x v="0"/>
    <m/>
    <s v="APAC"/>
    <s v="Southeast Asia"/>
    <s v="OFF-BI-10004986"/>
    <x v="0"/>
    <s v="Binders"/>
    <s v="Ibico 3-Hole Punch, Recycled"/>
    <n v="235.69650000000001"/>
    <n v="9"/>
    <n v="0.15000000000000002"/>
    <n v="88.546500000000009"/>
    <n v="17.61"/>
    <s v="Medium"/>
  </r>
  <r>
    <n v="22226"/>
    <s v="ID-2014-13618"/>
    <d v="2016-12-02T00:00:00"/>
    <d v="2016-12-06T00:00:00"/>
    <s v="Second Class"/>
    <s v="DR-12880"/>
    <s v="Dan Reichenbach"/>
    <x v="1"/>
    <x v="0"/>
    <x v="0"/>
    <x v="0"/>
    <m/>
    <s v="APAC"/>
    <s v="Southeast Asia"/>
    <s v="OFF-SU-10001346"/>
    <x v="0"/>
    <s v="Supplies"/>
    <s v="Stiletto Shears, Steel"/>
    <n v="235.07550000000006"/>
    <n v="9"/>
    <n v="0.45"/>
    <n v="-149.67450000000002"/>
    <n v="17.36"/>
    <s v="Medium"/>
  </r>
  <r>
    <n v="23099"/>
    <s v="ID-2011-66412"/>
    <d v="2013-03-30T00:00:00"/>
    <d v="2013-04-03T00:00:00"/>
    <s v="Standard Class"/>
    <s v="AF-10870"/>
    <s v="Art Ferguson"/>
    <x v="2"/>
    <x v="0"/>
    <x v="0"/>
    <x v="0"/>
    <m/>
    <s v="APAC"/>
    <s v="Southeast Asia"/>
    <s v="TEC-MA-10002701"/>
    <x v="1"/>
    <s v="Machines"/>
    <s v="Konica Inkjet, Durable"/>
    <n v="233.88750000000002"/>
    <n v="1"/>
    <n v="0.25"/>
    <n v="59.227499999999992"/>
    <n v="32.01"/>
    <s v="Medium"/>
  </r>
  <r>
    <n v="21656"/>
    <s v="IN-2012-58754"/>
    <d v="2014-07-26T00:00:00"/>
    <d v="2014-07-26T00:00:00"/>
    <s v="Same Day"/>
    <s v="SW-20755"/>
    <s v="Steven Ward"/>
    <x v="1"/>
    <x v="0"/>
    <x v="0"/>
    <x v="0"/>
    <m/>
    <s v="APAC"/>
    <s v="Southeast Asia"/>
    <s v="FUR-CH-10003336"/>
    <x v="2"/>
    <s v="Chairs"/>
    <s v="SAFCO Chairmat, Adjustable"/>
    <n v="233.66250000000002"/>
    <n v="5"/>
    <n v="0.25"/>
    <n v="-28.087500000000006"/>
    <n v="4.96"/>
    <s v="Medium"/>
  </r>
  <r>
    <n v="23102"/>
    <s v="ID-2011-66412"/>
    <d v="2013-03-30T00:00:00"/>
    <d v="2013-04-03T00:00:00"/>
    <s v="Standard Class"/>
    <s v="AF-10870"/>
    <s v="Art Ferguson"/>
    <x v="2"/>
    <x v="0"/>
    <x v="0"/>
    <x v="0"/>
    <m/>
    <s v="APAC"/>
    <s v="Southeast Asia"/>
    <s v="FUR-FU-10002210"/>
    <x v="2"/>
    <s v="Furnishings"/>
    <s v="Tenex Clock, Black"/>
    <n v="226.125"/>
    <n v="6"/>
    <n v="0.25"/>
    <n v="-24.255000000000003"/>
    <n v="21.75"/>
    <s v="Medium"/>
  </r>
  <r>
    <n v="26783"/>
    <s v="ID-2014-33134"/>
    <d v="2016-04-24T00:00:00"/>
    <d v="2016-04-29T00:00:00"/>
    <s v="Standard Class"/>
    <s v="SV-20935"/>
    <s v="Susan Vittorini"/>
    <x v="2"/>
    <x v="0"/>
    <x v="0"/>
    <x v="0"/>
    <m/>
    <s v="APAC"/>
    <s v="Southeast Asia"/>
    <s v="OFF-ST-10003295"/>
    <x v="0"/>
    <s v="Storage"/>
    <s v="Tenex Lockers, Blue"/>
    <n v="224.565"/>
    <n v="2"/>
    <n v="0.45"/>
    <n v="-77.59499999999997"/>
    <n v="11.89"/>
    <s v="Medium"/>
  </r>
  <r>
    <n v="25197"/>
    <s v="IN-2014-48121"/>
    <d v="2016-02-18T00:00:00"/>
    <d v="2016-02-20T00:00:00"/>
    <s v="First Class"/>
    <s v="CM-12160"/>
    <s v="Charles McCrossin"/>
    <x v="2"/>
    <x v="8"/>
    <x v="4"/>
    <x v="0"/>
    <m/>
    <s v="APAC"/>
    <s v="Southeast Asia"/>
    <s v="TEC-AC-10001500"/>
    <x v="1"/>
    <s v="Accessories"/>
    <s v="Logitech Memory Card, Erganomic"/>
    <n v="222.61800000000002"/>
    <n v="4"/>
    <n v="0.45"/>
    <n v="-157.90199999999999"/>
    <n v="23.81"/>
    <s v="High"/>
  </r>
  <r>
    <n v="29664"/>
    <s v="IN-2013-35304"/>
    <d v="2015-03-06T00:00:00"/>
    <d v="2015-03-08T00:00:00"/>
    <s v="Second Class"/>
    <s v="NM-18520"/>
    <s v="Neoma Murray"/>
    <x v="2"/>
    <x v="16"/>
    <x v="0"/>
    <x v="0"/>
    <m/>
    <s v="APAC"/>
    <s v="Southeast Asia"/>
    <s v="FUR-FU-10001770"/>
    <x v="2"/>
    <s v="Furnishings"/>
    <s v="Deflect-O Clock, Erganomic"/>
    <n v="220.18499999999995"/>
    <n v="6"/>
    <n v="0.25"/>
    <n v="73.305000000000035"/>
    <n v="14.61"/>
    <s v="Medium"/>
  </r>
  <r>
    <n v="20886"/>
    <s v="ID-2012-73391"/>
    <d v="2014-03-12T00:00:00"/>
    <d v="2014-03-17T00:00:00"/>
    <s v="Standard Class"/>
    <s v="PV-18985"/>
    <s v="Paul Van Hugh"/>
    <x v="0"/>
    <x v="0"/>
    <x v="0"/>
    <x v="0"/>
    <m/>
    <s v="APAC"/>
    <s v="Southeast Asia"/>
    <s v="FUR-BO-10001216"/>
    <x v="2"/>
    <s v="Bookcases"/>
    <s v="Sauder 3-Shelf Cabinet, Mobile"/>
    <n v="219.96000000000004"/>
    <n v="2"/>
    <n v="0.35"/>
    <n v="16.919999999999987"/>
    <n v="16.309999999999999"/>
    <s v="Medium"/>
  </r>
  <r>
    <n v="24546"/>
    <s v="IN-2012-44705"/>
    <d v="2014-11-07T00:00:00"/>
    <d v="2014-11-11T00:00:00"/>
    <s v="Standard Class"/>
    <s v="ER-13855"/>
    <s v="Elpida Rittenbach"/>
    <x v="1"/>
    <x v="0"/>
    <x v="0"/>
    <x v="0"/>
    <m/>
    <s v="APAC"/>
    <s v="Southeast Asia"/>
    <s v="FUR-FU-10003855"/>
    <x v="2"/>
    <s v="Furnishings"/>
    <s v="Rubbermaid Clock, Erganomic"/>
    <n v="219.51"/>
    <n v="6"/>
    <n v="0.25"/>
    <n v="55.530000000000015"/>
    <n v="14.16"/>
    <s v="Medium"/>
  </r>
  <r>
    <n v="24437"/>
    <s v="ID-2014-74238"/>
    <d v="2016-02-17T00:00:00"/>
    <d v="2016-02-18T00:00:00"/>
    <s v="First Class"/>
    <s v="KH-16510"/>
    <s v="Keith Herrera"/>
    <x v="2"/>
    <x v="8"/>
    <x v="4"/>
    <x v="0"/>
    <m/>
    <s v="APAC"/>
    <s v="Southeast Asia"/>
    <s v="OFF-ST-10000103"/>
    <x v="0"/>
    <s v="Storage"/>
    <s v="Smead Lockers, Industrial"/>
    <n v="218.79"/>
    <n v="2"/>
    <n v="0.45"/>
    <n v="-123.33"/>
    <n v="27.89"/>
    <s v="High"/>
  </r>
  <r>
    <n v="23513"/>
    <s v="ID-2012-40176"/>
    <d v="2014-10-01T00:00:00"/>
    <d v="2014-10-05T00:00:00"/>
    <s v="Standard Class"/>
    <s v="HM-14860"/>
    <s v="Harry Marie"/>
    <x v="1"/>
    <x v="0"/>
    <x v="0"/>
    <x v="0"/>
    <m/>
    <s v="APAC"/>
    <s v="Southeast Asia"/>
    <s v="FUR-CH-10004580"/>
    <x v="2"/>
    <s v="Chairs"/>
    <s v="Office Star Bag Chairs, Adjustable"/>
    <n v="217.23749999999995"/>
    <n v="5"/>
    <n v="0.25"/>
    <n v="17.287500000000009"/>
    <n v="7.53"/>
    <s v="Medium"/>
  </r>
  <r>
    <n v="20308"/>
    <s v="ID-2011-65117"/>
    <d v="2013-07-11T00:00:00"/>
    <d v="2013-07-15T00:00:00"/>
    <s v="Standard Class"/>
    <s v="SW-20245"/>
    <s v="Scot Wooten"/>
    <x v="2"/>
    <x v="0"/>
    <x v="0"/>
    <x v="0"/>
    <m/>
    <s v="APAC"/>
    <s v="Southeast Asia"/>
    <s v="OFF-BI-10000089"/>
    <x v="0"/>
    <s v="Binders"/>
    <s v="Wilson Jones 3-Hole Punch, Recycled"/>
    <n v="216.8775"/>
    <n v="9"/>
    <n v="0.15000000000000002"/>
    <n v="86.737499999999997"/>
    <n v="29.7"/>
    <s v="High"/>
  </r>
  <r>
    <n v="21836"/>
    <s v="ID-2012-37775"/>
    <d v="2014-05-03T00:00:00"/>
    <d v="2014-05-08T00:00:00"/>
    <s v="Second Class"/>
    <s v="DC-12850"/>
    <s v="Dan Campbell"/>
    <x v="2"/>
    <x v="9"/>
    <x v="2"/>
    <x v="0"/>
    <m/>
    <s v="APAC"/>
    <s v="Southeast Asia"/>
    <s v="OFF-AP-10002938"/>
    <x v="0"/>
    <s v="Appliances"/>
    <s v="KitchenAid Toaster, Black"/>
    <n v="216.11249999999998"/>
    <n v="3"/>
    <n v="0.15000000000000002"/>
    <n v="-15.277500000000003"/>
    <n v="12.39"/>
    <s v="Medium"/>
  </r>
  <r>
    <n v="25286"/>
    <s v="ID-2011-50655"/>
    <d v="2013-12-09T00:00:00"/>
    <d v="2013-12-13T00:00:00"/>
    <s v="Standard Class"/>
    <s v="JP-15520"/>
    <s v="Jeremy Pistek"/>
    <x v="2"/>
    <x v="0"/>
    <x v="0"/>
    <x v="0"/>
    <m/>
    <s v="APAC"/>
    <s v="Southeast Asia"/>
    <s v="FUR-FU-10004619"/>
    <x v="2"/>
    <s v="Furnishings"/>
    <s v="Tenex Stacking Tray, Erganomic"/>
    <n v="214.65000000000003"/>
    <n v="12"/>
    <n v="0.25"/>
    <n v="48.329999999999984"/>
    <n v="21.04"/>
    <s v="Medium"/>
  </r>
  <r>
    <n v="27145"/>
    <s v="IN-2011-41394"/>
    <d v="2013-11-25T00:00:00"/>
    <d v="2013-11-30T00:00:00"/>
    <s v="Standard Class"/>
    <s v="AG-10675"/>
    <s v="Anna Gayman"/>
    <x v="2"/>
    <x v="9"/>
    <x v="2"/>
    <x v="0"/>
    <m/>
    <s v="APAC"/>
    <s v="Southeast Asia"/>
    <s v="FUR-CH-10004312"/>
    <x v="2"/>
    <s v="Chairs"/>
    <s v="Hon Bag Chairs, Set of Two"/>
    <n v="213.29999999999998"/>
    <n v="6"/>
    <n v="0.25"/>
    <n v="-2.8799999999999955"/>
    <n v="12.23"/>
    <s v="Medium"/>
  </r>
  <r>
    <n v="26361"/>
    <s v="IN-2011-65159"/>
    <d v="2013-01-03T00:00:00"/>
    <d v="2013-01-07T00:00:00"/>
    <s v="Second Class"/>
    <s v="LB-16735"/>
    <s v="Larry Blacks"/>
    <x v="2"/>
    <x v="0"/>
    <x v="0"/>
    <x v="0"/>
    <m/>
    <s v="APAC"/>
    <s v="Southeast Asia"/>
    <s v="FUR-TA-10002797"/>
    <x v="2"/>
    <s v="Tables"/>
    <s v="Chromcraft Round Table, Adjustable Height"/>
    <n v="211.18049999999999"/>
    <n v="1"/>
    <n v="0.55000000000000004"/>
    <n v="-70.399500000000018"/>
    <n v="21.32"/>
    <s v="High"/>
  </r>
  <r>
    <n v="25660"/>
    <s v="ID-2013-24615"/>
    <d v="2015-09-30T00:00:00"/>
    <d v="2015-10-05T00:00:00"/>
    <s v="Second Class"/>
    <s v="BS-11380"/>
    <s v="Bill Stewart"/>
    <x v="1"/>
    <x v="16"/>
    <x v="0"/>
    <x v="0"/>
    <m/>
    <s v="APAC"/>
    <s v="Southeast Asia"/>
    <s v="FUR-FU-10002933"/>
    <x v="2"/>
    <s v="Furnishings"/>
    <s v="Advantus Stacking Tray, Erganomic"/>
    <n v="210.59999999999997"/>
    <n v="12"/>
    <n v="0.25"/>
    <n v="-28.079999999999991"/>
    <n v="17.46"/>
    <s v="Medium"/>
  </r>
  <r>
    <n v="27146"/>
    <s v="IN-2011-41394"/>
    <d v="2013-11-25T00:00:00"/>
    <d v="2013-11-30T00:00:00"/>
    <s v="Standard Class"/>
    <s v="AG-10675"/>
    <s v="Anna Gayman"/>
    <x v="2"/>
    <x v="9"/>
    <x v="2"/>
    <x v="0"/>
    <m/>
    <s v="APAC"/>
    <s v="Southeast Asia"/>
    <s v="OFF-BI-10001032"/>
    <x v="0"/>
    <s v="Binders"/>
    <s v="Avery Binding Machine, Recycled"/>
    <n v="209.1"/>
    <n v="5"/>
    <n v="0.15000000000000002"/>
    <n v="44.25"/>
    <n v="16.89"/>
    <s v="Medium"/>
  </r>
  <r>
    <n v="27308"/>
    <s v="ID-2014-45104"/>
    <d v="2016-04-07T00:00:00"/>
    <d v="2016-04-11T00:00:00"/>
    <s v="Standard Class"/>
    <s v="BT-11485"/>
    <s v="Brad Thomas"/>
    <x v="0"/>
    <x v="5"/>
    <x v="0"/>
    <x v="0"/>
    <m/>
    <s v="APAC"/>
    <s v="Southeast Asia"/>
    <s v="FUR-CH-10000187"/>
    <x v="2"/>
    <s v="Chairs"/>
    <s v="Hon Chairmat, Red"/>
    <n v="208.23750000000001"/>
    <n v="5"/>
    <n v="0.25"/>
    <n v="-0.11249999999999716"/>
    <n v="10.99"/>
    <s v="Medium"/>
  </r>
  <r>
    <n v="28145"/>
    <s v="ID-2013-68841"/>
    <d v="2015-09-03T00:00:00"/>
    <d v="2015-09-08T00:00:00"/>
    <s v="Standard Class"/>
    <s v="SM-20005"/>
    <s v="Sally Matthias"/>
    <x v="2"/>
    <x v="13"/>
    <x v="0"/>
    <x v="0"/>
    <m/>
    <s v="APAC"/>
    <s v="Southeast Asia"/>
    <s v="OFF-BI-10002881"/>
    <x v="0"/>
    <s v="Binders"/>
    <s v="Wilson Jones Binding Machine, Economy"/>
    <n v="208.07999999999998"/>
    <n v="5"/>
    <n v="0.15000000000000002"/>
    <n v="-31.920000000000005"/>
    <n v="14.77"/>
    <s v="High"/>
  </r>
  <r>
    <n v="28327"/>
    <s v="IN-2014-76422"/>
    <d v="2016-09-16T00:00:00"/>
    <d v="2016-09-21T00:00:00"/>
    <s v="Standard Class"/>
    <s v="PS-18760"/>
    <s v="Pamela Stobb"/>
    <x v="2"/>
    <x v="3"/>
    <x v="0"/>
    <x v="0"/>
    <m/>
    <s v="APAC"/>
    <s v="Southeast Asia"/>
    <s v="TEC-CO-10003759"/>
    <x v="1"/>
    <s v="Copiers"/>
    <s v="Canon Fax Machine, Laser"/>
    <n v="206.95350000000005"/>
    <n v="1"/>
    <n v="0.35"/>
    <n v="31.813499999999991"/>
    <n v="18.11"/>
    <s v="Medium"/>
  </r>
  <r>
    <n v="26892"/>
    <s v="ID-2012-45930"/>
    <d v="2014-01-10T00:00:00"/>
    <d v="2014-01-14T00:00:00"/>
    <s v="Second Class"/>
    <s v="RS-19765"/>
    <s v="Roland Schwarz"/>
    <x v="1"/>
    <x v="7"/>
    <x v="3"/>
    <x v="0"/>
    <m/>
    <s v="APAC"/>
    <s v="Southeast Asia"/>
    <s v="FUR-CH-10000258"/>
    <x v="2"/>
    <s v="Chairs"/>
    <s v="Office Star Steel Folding Chair, Red"/>
    <n v="206.3475"/>
    <n v="3"/>
    <n v="0.25"/>
    <n v="-52.3125"/>
    <n v="28.06"/>
    <s v="Medium"/>
  </r>
  <r>
    <n v="23026"/>
    <s v="ID-2011-75232"/>
    <d v="2013-06-14T00:00:00"/>
    <d v="2013-06-19T00:00:00"/>
    <s v="Standard Class"/>
    <s v="PF-19120"/>
    <s v="Peter Fuller"/>
    <x v="2"/>
    <x v="0"/>
    <x v="0"/>
    <x v="0"/>
    <m/>
    <s v="APAC"/>
    <s v="Southeast Asia"/>
    <s v="FUR-CH-10004009"/>
    <x v="2"/>
    <s v="Chairs"/>
    <s v="SAFCO Rocking Chair, Set of Two"/>
    <n v="205.74"/>
    <n v="2"/>
    <n v="0.25"/>
    <n v="-5.519999999999996"/>
    <n v="17.22"/>
    <s v="Medium"/>
  </r>
  <r>
    <n v="21067"/>
    <s v="ID-2013-24412"/>
    <d v="2015-11-16T00:00:00"/>
    <d v="2015-11-21T00:00:00"/>
    <s v="Standard Class"/>
    <s v="AH-10030"/>
    <s v="Aaron Hawkins"/>
    <x v="1"/>
    <x v="0"/>
    <x v="0"/>
    <x v="0"/>
    <m/>
    <s v="APAC"/>
    <s v="Southeast Asia"/>
    <s v="FUR-CH-10004009"/>
    <x v="2"/>
    <s v="Chairs"/>
    <s v="SAFCO Rocking Chair, Set of Two"/>
    <n v="205.74"/>
    <n v="2"/>
    <n v="0.25"/>
    <n v="-5.519999999999996"/>
    <n v="8.92"/>
    <s v="Medium"/>
  </r>
  <r>
    <n v="26727"/>
    <s v="ID-2013-25742"/>
    <d v="2015-01-28T00:00:00"/>
    <d v="2015-01-30T00:00:00"/>
    <s v="First Class"/>
    <s v="SC-20695"/>
    <s v="Steve Chapman"/>
    <x v="1"/>
    <x v="0"/>
    <x v="0"/>
    <x v="0"/>
    <m/>
    <s v="APAC"/>
    <s v="Southeast Asia"/>
    <s v="TEC-PH-10001921"/>
    <x v="1"/>
    <s v="Phones"/>
    <s v="Nokia Signal Booster, with Caller ID"/>
    <n v="204.75"/>
    <n v="2"/>
    <n v="0.25"/>
    <n v="-38.25"/>
    <n v="42.74"/>
    <s v="High"/>
  </r>
  <r>
    <n v="22593"/>
    <s v="IN-2013-19869"/>
    <d v="2015-12-04T00:00:00"/>
    <d v="2015-12-09T00:00:00"/>
    <s v="Standard Class"/>
    <s v="PV-18985"/>
    <s v="Paul Van Hugh"/>
    <x v="0"/>
    <x v="0"/>
    <x v="0"/>
    <x v="0"/>
    <m/>
    <s v="APAC"/>
    <s v="Southeast Asia"/>
    <s v="FUR-CH-10002468"/>
    <x v="2"/>
    <s v="Chairs"/>
    <s v="Hon Rocking Chair, Adjustable"/>
    <n v="199.66500000000002"/>
    <n v="2"/>
    <n v="0.25"/>
    <n v="2.6249999999999858"/>
    <n v="20.53"/>
    <s v="High"/>
  </r>
  <r>
    <n v="30104"/>
    <s v="IN-2014-48737"/>
    <d v="2016-05-07T00:00:00"/>
    <d v="2016-05-09T00:00:00"/>
    <s v="Second Class"/>
    <s v="FM-14380"/>
    <s v="Fred McMath"/>
    <x v="2"/>
    <x v="0"/>
    <x v="0"/>
    <x v="0"/>
    <m/>
    <s v="APAC"/>
    <s v="Southeast Asia"/>
    <s v="TEC-AC-10004081"/>
    <x v="1"/>
    <s v="Accessories"/>
    <s v="Logitech Keyboard, Bluetooth"/>
    <n v="199.23750000000001"/>
    <n v="5"/>
    <n v="0.45"/>
    <n v="18.037500000000023"/>
    <n v="29.84"/>
    <s v="High"/>
  </r>
  <r>
    <n v="25287"/>
    <s v="ID-2011-50655"/>
    <d v="2013-12-09T00:00:00"/>
    <d v="2013-12-13T00:00:00"/>
    <s v="Standard Class"/>
    <s v="JP-15520"/>
    <s v="Jeremy Pistek"/>
    <x v="2"/>
    <x v="0"/>
    <x v="0"/>
    <x v="0"/>
    <m/>
    <s v="APAC"/>
    <s v="Southeast Asia"/>
    <s v="OFF-AP-10001233"/>
    <x v="0"/>
    <s v="Appliances"/>
    <s v="Hamilton Beach Toaster, Red"/>
    <n v="195.53400000000002"/>
    <n v="4"/>
    <n v="0.15000000000000002"/>
    <n v="64.373999999999995"/>
    <n v="14.53"/>
    <s v="Medium"/>
  </r>
  <r>
    <n v="23562"/>
    <s v="ID-2013-51880"/>
    <d v="2015-04-17T00:00:00"/>
    <d v="2015-04-21T00:00:00"/>
    <s v="Standard Class"/>
    <s v="NF-18385"/>
    <s v="Natalie Fritzler"/>
    <x v="2"/>
    <x v="0"/>
    <x v="0"/>
    <x v="0"/>
    <m/>
    <s v="APAC"/>
    <s v="Southeast Asia"/>
    <s v="FUR-BO-10002738"/>
    <x v="2"/>
    <s v="Bookcases"/>
    <s v="Sauder Corner Shelving, Mobile"/>
    <n v="194.76600000000005"/>
    <n v="2"/>
    <n v="0.35"/>
    <n v="-95.934000000000012"/>
    <n v="32.869999999999997"/>
    <s v="High"/>
  </r>
  <r>
    <n v="25175"/>
    <s v="ID-2014-24538"/>
    <d v="2016-10-10T00:00:00"/>
    <d v="2016-10-12T00:00:00"/>
    <s v="Second Class"/>
    <s v="PC-18745"/>
    <s v="Pamela Coakley"/>
    <x v="1"/>
    <x v="4"/>
    <x v="2"/>
    <x v="0"/>
    <m/>
    <s v="APAC"/>
    <s v="Southeast Asia"/>
    <s v="FUR-BO-10002738"/>
    <x v="2"/>
    <s v="Bookcases"/>
    <s v="Sauder Corner Shelving, Mobile"/>
    <n v="194.76600000000005"/>
    <n v="2"/>
    <n v="0.35"/>
    <n v="-95.934000000000012"/>
    <n v="31.73"/>
    <s v="High"/>
  </r>
  <r>
    <n v="29436"/>
    <s v="ID-2014-34303"/>
    <d v="2016-05-28T00:00:00"/>
    <d v="2016-06-04T00:00:00"/>
    <s v="Standard Class"/>
    <s v="MA-17560"/>
    <s v="Matt Abelman"/>
    <x v="0"/>
    <x v="13"/>
    <x v="0"/>
    <x v="0"/>
    <m/>
    <s v="APAC"/>
    <s v="Southeast Asia"/>
    <s v="TEC-PH-10004544"/>
    <x v="1"/>
    <s v="Phones"/>
    <s v="Motorola Speaker Phone, with Caller ID"/>
    <n v="194.67000000000002"/>
    <n v="2"/>
    <n v="0.25"/>
    <n v="5.1899999999999977"/>
    <n v="14.99"/>
    <s v="Medium"/>
  </r>
  <r>
    <n v="23861"/>
    <s v="ID-2013-44040"/>
    <d v="2015-01-09T00:00:00"/>
    <d v="2015-01-11T00:00:00"/>
    <s v="Second Class"/>
    <s v="RM-19675"/>
    <s v="Robert Marley"/>
    <x v="0"/>
    <x v="9"/>
    <x v="2"/>
    <x v="0"/>
    <m/>
    <s v="APAC"/>
    <s v="Southeast Asia"/>
    <s v="TEC-MA-10001607"/>
    <x v="1"/>
    <s v="Machines"/>
    <s v="Konica Phone, Durable"/>
    <n v="194.19749999999999"/>
    <n v="3"/>
    <n v="0.25"/>
    <n v="-36.292500000000004"/>
    <n v="31.59"/>
    <s v="High"/>
  </r>
  <r>
    <n v="25006"/>
    <s v="ID-2012-45363"/>
    <d v="2014-06-29T00:00:00"/>
    <d v="2014-07-06T00:00:00"/>
    <s v="Standard Class"/>
    <s v="JG-15805"/>
    <s v="John Grady"/>
    <x v="1"/>
    <x v="13"/>
    <x v="0"/>
    <x v="0"/>
    <m/>
    <s v="APAC"/>
    <s v="Southeast Asia"/>
    <s v="TEC-MA-10003796"/>
    <x v="1"/>
    <s v="Machines"/>
    <s v="Konica Calculator, Durable"/>
    <n v="194.0625"/>
    <n v="5"/>
    <n v="0.25"/>
    <n v="23.212500000000006"/>
    <n v="15.53"/>
    <s v="Medium"/>
  </r>
  <r>
    <n v="22735"/>
    <s v="ID-2012-31419"/>
    <d v="2014-11-06T00:00:00"/>
    <d v="2014-11-11T00:00:00"/>
    <s v="Standard Class"/>
    <s v="SL-20155"/>
    <s v="Sara Luxemburg"/>
    <x v="0"/>
    <x v="0"/>
    <x v="0"/>
    <x v="0"/>
    <m/>
    <s v="APAC"/>
    <s v="Southeast Asia"/>
    <s v="FUR-BO-10001874"/>
    <x v="2"/>
    <s v="Bookcases"/>
    <s v="Sauder Corner Shelving, Pine"/>
    <n v="193.245"/>
    <n v="2"/>
    <n v="0.35"/>
    <n v="-50.594999999999992"/>
    <n v="15.26"/>
    <s v="Medium"/>
  </r>
  <r>
    <n v="23069"/>
    <s v="ID-2014-25385"/>
    <d v="2016-12-02T00:00:00"/>
    <d v="2016-12-09T00:00:00"/>
    <s v="Standard Class"/>
    <s v="KA-16525"/>
    <s v="Kelly Andreada"/>
    <x v="2"/>
    <x v="13"/>
    <x v="0"/>
    <x v="0"/>
    <m/>
    <s v="APAC"/>
    <s v="Southeast Asia"/>
    <s v="OFF-EN-10002472"/>
    <x v="0"/>
    <s v="Envelopes"/>
    <s v="Cameo Interoffice Envelope, Security-Tint"/>
    <n v="191.84550000000002"/>
    <n v="7"/>
    <n v="0.45"/>
    <n v="-9.4500000000010687E-2"/>
    <n v="25.06"/>
    <s v="Low"/>
  </r>
  <r>
    <n v="20884"/>
    <s v="ID-2012-73391"/>
    <d v="2014-03-12T00:00:00"/>
    <d v="2014-03-17T00:00:00"/>
    <s v="Standard Class"/>
    <s v="PV-18985"/>
    <s v="Paul Van Hugh"/>
    <x v="0"/>
    <x v="0"/>
    <x v="0"/>
    <x v="0"/>
    <m/>
    <s v="APAC"/>
    <s v="Southeast Asia"/>
    <s v="TEC-CO-10004267"/>
    <x v="1"/>
    <s v="Copiers"/>
    <s v="Brother Ink, Laser"/>
    <n v="191.49"/>
    <n v="2"/>
    <n v="0.35"/>
    <n v="-64.83"/>
    <n v="9.64"/>
    <s v="Medium"/>
  </r>
  <r>
    <n v="26122"/>
    <s v="ID-2013-68498"/>
    <d v="2015-10-11T00:00:00"/>
    <d v="2015-10-16T00:00:00"/>
    <s v="Standard Class"/>
    <s v="EN-13780"/>
    <s v="Edward Nazzal"/>
    <x v="2"/>
    <x v="9"/>
    <x v="2"/>
    <x v="0"/>
    <m/>
    <s v="APAC"/>
    <s v="Southeast Asia"/>
    <s v="FUR-CH-10001203"/>
    <x v="2"/>
    <s v="Chairs"/>
    <s v="Novimex Steel Folding Chair, Set of Two"/>
    <n v="190.07999999999998"/>
    <n v="3"/>
    <n v="0.25"/>
    <n v="-53.28"/>
    <n v="23.79"/>
    <s v="High"/>
  </r>
  <r>
    <n v="25996"/>
    <s v="IN-2011-66629"/>
    <d v="2013-09-16T00:00:00"/>
    <d v="2013-09-19T00:00:00"/>
    <s v="First Class"/>
    <s v="PH-18790"/>
    <s v="Patricia Hirasaki"/>
    <x v="0"/>
    <x v="13"/>
    <x v="0"/>
    <x v="0"/>
    <m/>
    <s v="APAC"/>
    <s v="Southeast Asia"/>
    <s v="FUR-CH-10002626"/>
    <x v="2"/>
    <s v="Chairs"/>
    <s v="Hon Steel Folding Chair, Adjustable"/>
    <n v="188.79749999999999"/>
    <n v="3"/>
    <n v="0.25"/>
    <n v="60.367499999999986"/>
    <n v="42.22"/>
    <s v="Medium"/>
  </r>
  <r>
    <n v="20775"/>
    <s v="ID-2012-41408"/>
    <d v="2014-01-12T00:00:00"/>
    <d v="2014-01-17T00:00:00"/>
    <s v="Standard Class"/>
    <s v="RD-19585"/>
    <s v="Rob Dowd"/>
    <x v="2"/>
    <x v="13"/>
    <x v="0"/>
    <x v="0"/>
    <m/>
    <s v="APAC"/>
    <s v="Southeast Asia"/>
    <s v="TEC-MA-10000345"/>
    <x v="1"/>
    <s v="Machines"/>
    <s v="Konica Phone, Red"/>
    <n v="187.51500000000001"/>
    <n v="3"/>
    <n v="0.25"/>
    <n v="-17.505000000000003"/>
    <n v="11.15"/>
    <s v="Medium"/>
  </r>
  <r>
    <n v="27867"/>
    <s v="ID-2011-76884"/>
    <d v="2013-10-17T00:00:00"/>
    <d v="2013-10-23T00:00:00"/>
    <s v="Standard Class"/>
    <s v="HF-14995"/>
    <s v="Herbert Flentye"/>
    <x v="2"/>
    <x v="0"/>
    <x v="0"/>
    <x v="0"/>
    <m/>
    <s v="APAC"/>
    <s v="Southeast Asia"/>
    <s v="FUR-CH-10000694"/>
    <x v="2"/>
    <s v="Chairs"/>
    <s v="Novimex Steel Folding Chair, Red"/>
    <n v="185.01749999999998"/>
    <n v="3"/>
    <n v="0.25"/>
    <n v="-7.4025000000000034"/>
    <n v="20.68"/>
    <s v="Medium"/>
  </r>
  <r>
    <n v="21879"/>
    <s v="ID-2014-71683"/>
    <d v="2016-12-11T00:00:00"/>
    <d v="2016-12-15T00:00:00"/>
    <s v="Standard Class"/>
    <s v="NH-18610"/>
    <s v="Nicole Hansen"/>
    <x v="1"/>
    <x v="0"/>
    <x v="0"/>
    <x v="0"/>
    <m/>
    <s v="APAC"/>
    <s v="Southeast Asia"/>
    <s v="FUR-CH-10000694"/>
    <x v="2"/>
    <s v="Chairs"/>
    <s v="Novimex Steel Folding Chair, Red"/>
    <n v="185.01749999999998"/>
    <n v="3"/>
    <n v="0.25"/>
    <n v="-7.4025000000000034"/>
    <n v="7.38"/>
    <s v="Medium"/>
  </r>
  <r>
    <n v="23135"/>
    <s v="ID-2014-69058"/>
    <d v="2016-05-22T00:00:00"/>
    <d v="2016-05-27T00:00:00"/>
    <s v="Second Class"/>
    <s v="RB-19645"/>
    <s v="Robert Barroso"/>
    <x v="1"/>
    <x v="0"/>
    <x v="0"/>
    <x v="0"/>
    <m/>
    <s v="APAC"/>
    <s v="Southeast Asia"/>
    <s v="TEC-AC-10004306"/>
    <x v="1"/>
    <s v="Accessories"/>
    <s v="Belkin Keyboard, Bluetooth"/>
    <n v="184.536"/>
    <n v="4"/>
    <n v="0.45"/>
    <n v="-134.304"/>
    <n v="13.87"/>
    <s v="Medium"/>
  </r>
  <r>
    <n v="27150"/>
    <s v="IN-2011-41394"/>
    <d v="2013-11-25T00:00:00"/>
    <d v="2013-11-30T00:00:00"/>
    <s v="Standard Class"/>
    <s v="AG-10675"/>
    <s v="Anna Gayman"/>
    <x v="2"/>
    <x v="9"/>
    <x v="2"/>
    <x v="0"/>
    <m/>
    <s v="APAC"/>
    <s v="Southeast Asia"/>
    <s v="FUR-BO-10001155"/>
    <x v="2"/>
    <s v="Bookcases"/>
    <s v="Dania 3-Shelf Cabinet, Traditional"/>
    <n v="183.88499999999999"/>
    <n v="2"/>
    <n v="0.35"/>
    <n v="-82.094999999999985"/>
    <n v="11.54"/>
    <s v="Medium"/>
  </r>
  <r>
    <n v="25339"/>
    <s v="ID-2013-78298"/>
    <d v="2015-11-07T00:00:00"/>
    <d v="2015-11-11T00:00:00"/>
    <s v="Standard Class"/>
    <s v="CK-12205"/>
    <s v="Chloris Kastensmidt"/>
    <x v="2"/>
    <x v="0"/>
    <x v="0"/>
    <x v="0"/>
    <m/>
    <s v="APAC"/>
    <s v="Southeast Asia"/>
    <s v="FUR-FU-10001343"/>
    <x v="2"/>
    <s v="Furnishings"/>
    <s v="Eldon Stacking Tray, Erganomic"/>
    <n v="180.72000000000003"/>
    <n v="8"/>
    <n v="0.25"/>
    <n v="-9.8400000000000034"/>
    <n v="13.88"/>
    <s v="High"/>
  </r>
  <r>
    <n v="21680"/>
    <s v="ID-2013-13625"/>
    <d v="2015-10-22T00:00:00"/>
    <d v="2015-10-28T00:00:00"/>
    <s v="Standard Class"/>
    <s v="MG-17680"/>
    <s v="Maureen Gastineau"/>
    <x v="0"/>
    <x v="0"/>
    <x v="0"/>
    <x v="0"/>
    <m/>
    <s v="APAC"/>
    <s v="Southeast Asia"/>
    <s v="OFF-BI-10003779"/>
    <x v="0"/>
    <s v="Binders"/>
    <s v="Cardinal 3-Hole Punch, Durable"/>
    <n v="180.28499999999997"/>
    <n v="7"/>
    <n v="0.15000000000000002"/>
    <n v="53.025000000000006"/>
    <n v="14.27"/>
    <s v="Medium"/>
  </r>
  <r>
    <n v="20885"/>
    <s v="ID-2012-73391"/>
    <d v="2014-03-12T00:00:00"/>
    <d v="2014-03-17T00:00:00"/>
    <s v="Standard Class"/>
    <s v="PV-18985"/>
    <s v="Paul Van Hugh"/>
    <x v="0"/>
    <x v="0"/>
    <x v="0"/>
    <x v="0"/>
    <m/>
    <s v="APAC"/>
    <s v="Southeast Asia"/>
    <s v="FUR-CH-10003419"/>
    <x v="2"/>
    <s v="Chairs"/>
    <s v="Hon Steel Folding Chair, Black"/>
    <n v="177.72749999999996"/>
    <n v="3"/>
    <n v="0.25"/>
    <n v="-26.122499999999988"/>
    <n v="8.4600000000000009"/>
    <s v="Medium"/>
  </r>
  <r>
    <n v="22623"/>
    <s v="IN-2014-48058"/>
    <d v="2016-09-18T00:00:00"/>
    <d v="2016-09-23T00:00:00"/>
    <s v="Standard Class"/>
    <s v="GW-14605"/>
    <s v="Giulietta Weimer"/>
    <x v="2"/>
    <x v="13"/>
    <x v="0"/>
    <x v="0"/>
    <m/>
    <s v="APAC"/>
    <s v="Southeast Asia"/>
    <s v="FUR-FU-10001410"/>
    <x v="2"/>
    <s v="Furnishings"/>
    <s v="Tenex Clock, Durable"/>
    <n v="177.3"/>
    <n v="5"/>
    <n v="0.25"/>
    <n v="40.050000000000004"/>
    <n v="8.6199999999999992"/>
    <s v="Medium"/>
  </r>
  <r>
    <n v="26701"/>
    <s v="IN-2011-40715"/>
    <d v="2013-06-30T00:00:00"/>
    <d v="2013-07-04T00:00:00"/>
    <s v="Standard Class"/>
    <s v="BF-11170"/>
    <s v="Ben Ferrer"/>
    <x v="0"/>
    <x v="14"/>
    <x v="1"/>
    <x v="0"/>
    <m/>
    <s v="APAC"/>
    <s v="Southeast Asia"/>
    <s v="FUR-CH-10002743"/>
    <x v="2"/>
    <s v="Chairs"/>
    <s v="Novimex Chairmat, Adjustable"/>
    <n v="176.49"/>
    <n v="4"/>
    <n v="0.25"/>
    <n v="-58.83"/>
    <n v="9.52"/>
    <s v="Medium"/>
  </r>
  <r>
    <n v="22476"/>
    <s v="ID-2014-70227"/>
    <d v="2016-09-25T00:00:00"/>
    <d v="2016-10-01T00:00:00"/>
    <s v="Standard Class"/>
    <s v="AH-10465"/>
    <s v="Amy Hunt"/>
    <x v="2"/>
    <x v="13"/>
    <x v="0"/>
    <x v="0"/>
    <m/>
    <s v="APAC"/>
    <s v="Southeast Asia"/>
    <s v="OFF-SU-10000649"/>
    <x v="0"/>
    <s v="Supplies"/>
    <s v="Fiskars Box Cutter, High Speed"/>
    <n v="175.82399999999998"/>
    <n v="9"/>
    <n v="0.45"/>
    <n v="-140.886"/>
    <n v="21.38"/>
    <s v="Low"/>
  </r>
  <r>
    <n v="30180"/>
    <s v="IN-2011-76338"/>
    <d v="2013-09-02T00:00:00"/>
    <d v="2013-09-04T00:00:00"/>
    <s v="Second Class"/>
    <s v="TH-21100"/>
    <s v="Thea Hendricks"/>
    <x v="2"/>
    <x v="0"/>
    <x v="0"/>
    <x v="0"/>
    <m/>
    <s v="APAC"/>
    <s v="Southeast Asia"/>
    <s v="FUR-FU-10001640"/>
    <x v="2"/>
    <s v="Furnishings"/>
    <s v="Eldon Photo Frame, Black"/>
    <n v="174.32999999999998"/>
    <n v="4"/>
    <n v="0.25"/>
    <n v="27.810000000000002"/>
    <n v="17.829999999999998"/>
    <s v="Medium"/>
  </r>
  <r>
    <n v="21015"/>
    <s v="ID-2011-24454"/>
    <d v="2013-02-21T00:00:00"/>
    <d v="2013-02-21T00:00:00"/>
    <s v="Same Day"/>
    <s v="LM-17065"/>
    <s v="Liz MacKendrick"/>
    <x v="2"/>
    <x v="0"/>
    <x v="0"/>
    <x v="0"/>
    <m/>
    <s v="APAC"/>
    <s v="Southeast Asia"/>
    <s v="OFF-PA-10002047"/>
    <x v="0"/>
    <s v="Paper"/>
    <s v="Green Bar Cards &amp; Envelopes, 8.5 x 11"/>
    <n v="173.34900000000002"/>
    <n v="6"/>
    <n v="0.45"/>
    <n v="-104.03100000000001"/>
    <n v="37.06"/>
    <s v="High"/>
  </r>
  <r>
    <n v="25841"/>
    <s v="ID-2013-50347"/>
    <d v="2015-08-28T00:00:00"/>
    <d v="2015-09-04T00:00:00"/>
    <s v="Standard Class"/>
    <s v="SP-20620"/>
    <s v="Stefania Perrino"/>
    <x v="1"/>
    <x v="15"/>
    <x v="0"/>
    <x v="0"/>
    <m/>
    <s v="APAC"/>
    <s v="Southeast Asia"/>
    <s v="OFF-ST-10001186"/>
    <x v="0"/>
    <s v="Storage"/>
    <s v="Rogers Trays, Industrial"/>
    <n v="170.94"/>
    <n v="5"/>
    <n v="0.45"/>
    <n v="-34.259999999999977"/>
    <n v="19.7"/>
    <s v="Low"/>
  </r>
  <r>
    <n v="28306"/>
    <s v="ID-2014-62744"/>
    <d v="2016-03-22T00:00:00"/>
    <d v="2016-03-24T00:00:00"/>
    <s v="Second Class"/>
    <s v="BD-11725"/>
    <s v="Bruce Degenhardt"/>
    <x v="2"/>
    <x v="2"/>
    <x v="0"/>
    <x v="0"/>
    <m/>
    <s v="APAC"/>
    <s v="Southeast Asia"/>
    <s v="FUR-FU-10002362"/>
    <x v="2"/>
    <s v="Furnishings"/>
    <s v="Advantus Door Stop, Black"/>
    <n v="168.86250000000001"/>
    <n v="5"/>
    <n v="0.25"/>
    <n v="35.962500000000013"/>
    <n v="16.09"/>
    <s v="High"/>
  </r>
  <r>
    <n v="26610"/>
    <s v="ID-2011-37782"/>
    <d v="2013-11-03T00:00:00"/>
    <d v="2013-11-07T00:00:00"/>
    <s v="Standard Class"/>
    <s v="BS-11665"/>
    <s v="Brian Stugart"/>
    <x v="2"/>
    <x v="0"/>
    <x v="0"/>
    <x v="0"/>
    <m/>
    <s v="APAC"/>
    <s v="Southeast Asia"/>
    <s v="FUR-FU-10004074"/>
    <x v="2"/>
    <s v="Furnishings"/>
    <s v="Advantus Stacking Tray, Erganomic"/>
    <n v="168.6825"/>
    <n v="9"/>
    <n v="0.25"/>
    <n v="-2.4975000000000094"/>
    <n v="10.58"/>
    <s v="Medium"/>
  </r>
  <r>
    <n v="26275"/>
    <s v="IN-2013-45412"/>
    <d v="2015-11-19T00:00:00"/>
    <d v="2015-11-24T00:00:00"/>
    <s v="Standard Class"/>
    <s v="JH-16180"/>
    <s v="Justin Hirsh"/>
    <x v="2"/>
    <x v="0"/>
    <x v="0"/>
    <x v="0"/>
    <m/>
    <s v="APAC"/>
    <s v="Southeast Asia"/>
    <s v="FUR-FU-10001045"/>
    <x v="2"/>
    <s v="Furnishings"/>
    <s v="Eldon Photo Frame, Durable"/>
    <n v="165.42000000000002"/>
    <n v="4"/>
    <n v="0.25"/>
    <n v="55.14"/>
    <n v="21.29"/>
    <s v="High"/>
  </r>
  <r>
    <n v="24973"/>
    <s v="IN-2011-61778"/>
    <d v="2013-10-14T00:00:00"/>
    <d v="2013-10-19T00:00:00"/>
    <s v="Standard Class"/>
    <s v="DB-13555"/>
    <s v="Dorothy Badders"/>
    <x v="1"/>
    <x v="0"/>
    <x v="0"/>
    <x v="0"/>
    <m/>
    <s v="APAC"/>
    <s v="Southeast Asia"/>
    <s v="TEC-PH-10000922"/>
    <x v="1"/>
    <s v="Phones"/>
    <s v="Nokia Headset, with Caller ID"/>
    <n v="164.49749999999997"/>
    <n v="3"/>
    <n v="0.25"/>
    <n v="24.097500000000004"/>
    <n v="14.09"/>
    <s v="Medium"/>
  </r>
  <r>
    <n v="30257"/>
    <s v="ID-2012-64844"/>
    <d v="2014-05-16T00:00:00"/>
    <d v="2014-05-21T00:00:00"/>
    <s v="Standard Class"/>
    <s v="SZ-20035"/>
    <s v="Sam Zeldin"/>
    <x v="0"/>
    <x v="0"/>
    <x v="0"/>
    <x v="0"/>
    <m/>
    <s v="APAC"/>
    <s v="Southeast Asia"/>
    <s v="FUR-BO-10000676"/>
    <x v="2"/>
    <s v="Bookcases"/>
    <s v="Bush Stackable Bookrack, Pine"/>
    <n v="163.839"/>
    <n v="2"/>
    <n v="0.35"/>
    <n v="-75.620999999999981"/>
    <n v="7.14"/>
    <s v="Medium"/>
  </r>
  <r>
    <n v="29760"/>
    <s v="ID-2013-63570"/>
    <d v="2015-06-07T00:00:00"/>
    <d v="2015-06-12T00:00:00"/>
    <s v="Standard Class"/>
    <s v="TR-21325"/>
    <s v="Toby Ritter"/>
    <x v="2"/>
    <x v="0"/>
    <x v="0"/>
    <x v="0"/>
    <m/>
    <s v="APAC"/>
    <s v="Southeast Asia"/>
    <s v="OFF-BI-10004078"/>
    <x v="0"/>
    <s v="Binders"/>
    <s v="Wilson Jones 3-Hole Punch, Clear"/>
    <n v="163.32750000000001"/>
    <n v="7"/>
    <n v="0.15000000000000002"/>
    <n v="1.837499999999995"/>
    <n v="10.85"/>
    <s v="Medium"/>
  </r>
  <r>
    <n v="26807"/>
    <s v="ID-2012-77318"/>
    <d v="2014-11-02T00:00:00"/>
    <d v="2014-11-05T00:00:00"/>
    <s v="First Class"/>
    <s v="CC-12670"/>
    <s v="Craig Carreira"/>
    <x v="2"/>
    <x v="0"/>
    <x v="0"/>
    <x v="0"/>
    <m/>
    <s v="APAC"/>
    <s v="Southeast Asia"/>
    <s v="TEC-AC-10004897"/>
    <x v="1"/>
    <s v="Accessories"/>
    <s v="Logitech Keyboard, Programmable"/>
    <n v="162.69000000000003"/>
    <n v="4"/>
    <n v="0.45"/>
    <n v="-62.190000000000012"/>
    <n v="0.96"/>
    <s v="Medium"/>
  </r>
  <r>
    <n v="20777"/>
    <s v="ID-2012-41408"/>
    <d v="2014-01-12T00:00:00"/>
    <d v="2014-01-17T00:00:00"/>
    <s v="Standard Class"/>
    <s v="RD-19585"/>
    <s v="Rob Dowd"/>
    <x v="2"/>
    <x v="13"/>
    <x v="0"/>
    <x v="0"/>
    <m/>
    <s v="APAC"/>
    <s v="Southeast Asia"/>
    <s v="FUR-BO-10002032"/>
    <x v="2"/>
    <s v="Bookcases"/>
    <s v="Ikea Stackable Bookrack, Pine"/>
    <n v="161.10900000000001"/>
    <n v="2"/>
    <n v="0.35"/>
    <n v="-27.291000000000004"/>
    <n v="19.12"/>
    <s v="Medium"/>
  </r>
  <r>
    <n v="27147"/>
    <s v="IN-2011-41394"/>
    <d v="2013-11-25T00:00:00"/>
    <d v="2013-11-30T00:00:00"/>
    <s v="Standard Class"/>
    <s v="AG-10675"/>
    <s v="Anna Gayman"/>
    <x v="2"/>
    <x v="9"/>
    <x v="2"/>
    <x v="0"/>
    <m/>
    <s v="APAC"/>
    <s v="Southeast Asia"/>
    <s v="OFF-SU-10000970"/>
    <x v="0"/>
    <s v="Supplies"/>
    <s v="Elite Box Cutter, Easy Grip"/>
    <n v="160.64399999999998"/>
    <n v="8"/>
    <n v="0.45"/>
    <n v="-93.515999999999977"/>
    <n v="1.18"/>
    <s v="Medium"/>
  </r>
  <r>
    <n v="29859"/>
    <s v="ID-2013-44607"/>
    <d v="2015-09-13T00:00:00"/>
    <d v="2015-09-17T00:00:00"/>
    <s v="Standard Class"/>
    <s v="DJ-13420"/>
    <s v="Denny Joy"/>
    <x v="1"/>
    <x v="8"/>
    <x v="4"/>
    <x v="0"/>
    <m/>
    <s v="APAC"/>
    <s v="Southeast Asia"/>
    <s v="OFF-AR-10000097"/>
    <x v="0"/>
    <s v="Art"/>
    <s v="BIC Sketch Pad, Blue"/>
    <n v="160.578"/>
    <n v="6"/>
    <n v="0.45"/>
    <n v="-122.742"/>
    <n v="26.49"/>
    <s v="High"/>
  </r>
  <r>
    <n v="21453"/>
    <s v="IN-2012-67490"/>
    <d v="2014-11-08T00:00:00"/>
    <d v="2014-11-13T00:00:00"/>
    <s v="Standard Class"/>
    <s v="GM-14695"/>
    <s v="Greg Maxwell"/>
    <x v="1"/>
    <x v="13"/>
    <x v="0"/>
    <x v="0"/>
    <m/>
    <s v="APAC"/>
    <s v="Southeast Asia"/>
    <s v="FUR-BO-10002819"/>
    <x v="2"/>
    <s v="Bookcases"/>
    <s v="Ikea Stackable Bookrack, Traditional"/>
    <n v="159.35400000000001"/>
    <n v="2"/>
    <n v="0.35"/>
    <n v="-14.766000000000005"/>
    <n v="14.09"/>
    <s v="Medium"/>
  </r>
  <r>
    <n v="23887"/>
    <s v="ID-2014-37131"/>
    <d v="2016-02-24T00:00:00"/>
    <d v="2016-02-28T00:00:00"/>
    <s v="Standard Class"/>
    <s v="RB-19705"/>
    <s v="Roger Barcio"/>
    <x v="0"/>
    <x v="4"/>
    <x v="2"/>
    <x v="0"/>
    <m/>
    <s v="APAC"/>
    <s v="Southeast Asia"/>
    <s v="TEC-CO-10001674"/>
    <x v="1"/>
    <s v="Copiers"/>
    <s v="Sharp Personal Copier, Color"/>
    <n v="157.87200000000001"/>
    <n v="2"/>
    <n v="0.35"/>
    <n v="7.2719999999999914"/>
    <n v="20.05"/>
    <s v="High"/>
  </r>
  <r>
    <n v="29580"/>
    <s v="ID-2011-46483"/>
    <d v="2013-01-09T00:00:00"/>
    <d v="2013-01-13T00:00:00"/>
    <s v="Standard Class"/>
    <s v="SC-20050"/>
    <s v="Sample Company A"/>
    <x v="0"/>
    <x v="17"/>
    <x v="2"/>
    <x v="0"/>
    <m/>
    <s v="APAC"/>
    <s v="Southeast Asia"/>
    <s v="OFF-ST-10001342"/>
    <x v="0"/>
    <s v="Storage"/>
    <s v="Fellowes Trays, Blue"/>
    <n v="157.82250000000002"/>
    <n v="5"/>
    <n v="0.45"/>
    <n v="-2.977499999999992"/>
    <n v="10.08"/>
    <s v="High"/>
  </r>
  <r>
    <n v="29276"/>
    <s v="ID-2014-27765"/>
    <d v="2016-09-08T00:00:00"/>
    <d v="2016-09-11T00:00:00"/>
    <s v="First Class"/>
    <s v="KM-16720"/>
    <s v="Kunst Miller"/>
    <x v="2"/>
    <x v="0"/>
    <x v="0"/>
    <x v="0"/>
    <m/>
    <s v="APAC"/>
    <s v="Southeast Asia"/>
    <s v="TEC-AC-10001703"/>
    <x v="1"/>
    <s v="Accessories"/>
    <s v="Memorex Keyboard, USB"/>
    <n v="157.41000000000003"/>
    <n v="4"/>
    <n v="0.45"/>
    <n v="-108.87000000000002"/>
    <n v="25.36"/>
    <s v="Medium"/>
  </r>
  <r>
    <n v="22546"/>
    <s v="ID-2012-72558"/>
    <d v="2014-11-28T00:00:00"/>
    <d v="2014-12-03T00:00:00"/>
    <s v="Standard Class"/>
    <s v="PR-18880"/>
    <s v="Patrick Ryan"/>
    <x v="2"/>
    <x v="0"/>
    <x v="0"/>
    <x v="0"/>
    <m/>
    <s v="APAC"/>
    <s v="Southeast Asia"/>
    <s v="OFF-ST-10003334"/>
    <x v="0"/>
    <s v="Storage"/>
    <s v="Smead Trays, Wire Frame"/>
    <n v="156.91499999999999"/>
    <n v="6"/>
    <n v="0.45"/>
    <n v="-77.08499999999998"/>
    <n v="2.0299999999999998"/>
    <s v="Medium"/>
  </r>
  <r>
    <n v="23933"/>
    <s v="ID-2014-43333"/>
    <d v="2016-07-10T00:00:00"/>
    <d v="2016-07-15T00:00:00"/>
    <s v="Standard Class"/>
    <s v="JS-15685"/>
    <s v="Jim Sink"/>
    <x v="1"/>
    <x v="8"/>
    <x v="4"/>
    <x v="0"/>
    <m/>
    <s v="APAC"/>
    <s v="Southeast Asia"/>
    <s v="TEC-AC-10003895"/>
    <x v="1"/>
    <s v="Accessories"/>
    <s v="Enermax Mouse, Bluetooth"/>
    <n v="155.1165"/>
    <n v="7"/>
    <n v="0.45"/>
    <n v="-3.0134999999999934"/>
    <n v="8.9600000000000009"/>
    <s v="Medium"/>
  </r>
  <r>
    <n v="29438"/>
    <s v="ID-2014-34303"/>
    <d v="2016-05-28T00:00:00"/>
    <d v="2016-06-04T00:00:00"/>
    <s v="Standard Class"/>
    <s v="MA-17560"/>
    <s v="Matt Abelman"/>
    <x v="0"/>
    <x v="13"/>
    <x v="0"/>
    <x v="0"/>
    <m/>
    <s v="APAC"/>
    <s v="Southeast Asia"/>
    <s v="OFF-SU-10000207"/>
    <x v="0"/>
    <s v="Supplies"/>
    <s v="Kleencut Box Cutter, High Speed"/>
    <n v="152.46"/>
    <n v="8"/>
    <n v="0.45"/>
    <n v="-58.259999999999991"/>
    <n v="7.26"/>
    <s v="Medium"/>
  </r>
  <r>
    <n v="29278"/>
    <s v="ID-2014-27765"/>
    <d v="2016-09-08T00:00:00"/>
    <d v="2016-09-11T00:00:00"/>
    <s v="First Class"/>
    <s v="KM-16720"/>
    <s v="Kunst Miller"/>
    <x v="2"/>
    <x v="0"/>
    <x v="0"/>
    <x v="0"/>
    <m/>
    <s v="APAC"/>
    <s v="Southeast Asia"/>
    <s v="OFF-BI-10002919"/>
    <x v="0"/>
    <s v="Binders"/>
    <s v="Acco Binder Covers, Durable"/>
    <n v="151.16399999999999"/>
    <n v="12"/>
    <n v="0.15000000000000002"/>
    <n v="15.804000000000002"/>
    <n v="29.01"/>
    <s v="Medium"/>
  </r>
  <r>
    <n v="24207"/>
    <s v="ID-2014-38069"/>
    <d v="2016-05-31T00:00:00"/>
    <d v="2016-06-05T00:00:00"/>
    <s v="Standard Class"/>
    <s v="JB-16000"/>
    <s v="Joy Bell-"/>
    <x v="2"/>
    <x v="0"/>
    <x v="0"/>
    <x v="0"/>
    <m/>
    <s v="APAC"/>
    <s v="Southeast Asia"/>
    <s v="OFF-AR-10000851"/>
    <x v="0"/>
    <s v="Art"/>
    <s v="Sanford Sketch Pad, Blue"/>
    <n v="150.084"/>
    <n v="6"/>
    <n v="0.45"/>
    <n v="-62.856000000000009"/>
    <n v="12.73"/>
    <s v="Medium"/>
  </r>
  <r>
    <n v="21728"/>
    <s v="IN-2013-31083"/>
    <d v="2015-11-01T00:00:00"/>
    <d v="2015-11-07T00:00:00"/>
    <s v="Standard Class"/>
    <s v="RP-19270"/>
    <s v="Rachel Payne"/>
    <x v="1"/>
    <x v="0"/>
    <x v="0"/>
    <x v="0"/>
    <m/>
    <s v="APAC"/>
    <s v="Southeast Asia"/>
    <s v="OFF-AR-10001208"/>
    <x v="0"/>
    <s v="Art"/>
    <s v="Binney &amp; Smith Canvas, Water Color"/>
    <n v="149.98500000000001"/>
    <n v="5"/>
    <n v="0.45"/>
    <n v="8.085000000000008"/>
    <n v="11.94"/>
    <s v="Low"/>
  </r>
  <r>
    <n v="27224"/>
    <s v="ID-2014-15515"/>
    <d v="2016-09-05T00:00:00"/>
    <d v="2016-09-10T00:00:00"/>
    <s v="Standard Class"/>
    <s v="RE-19405"/>
    <s v="Ricardo Emerson"/>
    <x v="2"/>
    <x v="0"/>
    <x v="0"/>
    <x v="0"/>
    <m/>
    <s v="APAC"/>
    <s v="Southeast Asia"/>
    <s v="TEC-PH-10001884"/>
    <x v="1"/>
    <s v="Phones"/>
    <s v="Nokia Office Telephone, Full Size"/>
    <n v="149.44499999999999"/>
    <n v="3"/>
    <n v="0.25"/>
    <n v="-41.894999999999996"/>
    <n v="8.2100000000000009"/>
    <s v="Medium"/>
  </r>
  <r>
    <n v="27734"/>
    <s v="IN-2012-64081"/>
    <d v="2014-10-31T00:00:00"/>
    <d v="2014-11-05T00:00:00"/>
    <s v="Standard Class"/>
    <s v="ZD-21925"/>
    <s v="Zuschuss Donatelli"/>
    <x v="2"/>
    <x v="0"/>
    <x v="0"/>
    <x v="0"/>
    <m/>
    <s v="APAC"/>
    <s v="Southeast Asia"/>
    <s v="TEC-PH-10000297"/>
    <x v="1"/>
    <s v="Phones"/>
    <s v="Apple Office Telephone, with Caller ID"/>
    <n v="146.88"/>
    <n v="3"/>
    <n v="0.25"/>
    <n v="27.360000000000007"/>
    <n v="12.12"/>
    <s v="Medium"/>
  </r>
  <r>
    <n v="25235"/>
    <s v="ID-2014-39952"/>
    <d v="2016-10-24T00:00:00"/>
    <d v="2016-10-26T00:00:00"/>
    <s v="Second Class"/>
    <s v="EB-13975"/>
    <s v="Erica Bern"/>
    <x v="1"/>
    <x v="0"/>
    <x v="0"/>
    <x v="0"/>
    <m/>
    <s v="APAC"/>
    <s v="Southeast Asia"/>
    <s v="TEC-PH-10004578"/>
    <x v="1"/>
    <s v="Phones"/>
    <s v="Nokia Office Telephone, with Caller ID"/>
    <n v="146.54249999999999"/>
    <n v="3"/>
    <n v="0.25"/>
    <n v="-1.957499999999996"/>
    <n v="19.71"/>
    <s v="Medium"/>
  </r>
  <r>
    <n v="21444"/>
    <s v="ID-2014-27653"/>
    <d v="2016-07-17T00:00:00"/>
    <d v="2016-07-19T00:00:00"/>
    <s v="Second Class"/>
    <s v="DK-13150"/>
    <s v="David Kendrick"/>
    <x v="1"/>
    <x v="11"/>
    <x v="2"/>
    <x v="0"/>
    <m/>
    <s v="APAC"/>
    <s v="Southeast Asia"/>
    <s v="OFF-AP-10001905"/>
    <x v="0"/>
    <s v="Appliances"/>
    <s v="KitchenAid Toaster, White"/>
    <n v="141.88200000000001"/>
    <n v="2"/>
    <n v="0.15000000000000002"/>
    <n v="3.2819999999999929"/>
    <n v="17.64"/>
    <s v="Critical"/>
  </r>
  <r>
    <n v="28232"/>
    <s v="ID-2014-74119"/>
    <d v="2016-09-30T00:00:00"/>
    <d v="2016-10-04T00:00:00"/>
    <s v="Second Class"/>
    <s v="DH-13675"/>
    <s v="Duane Huffman"/>
    <x v="0"/>
    <x v="0"/>
    <x v="0"/>
    <x v="0"/>
    <m/>
    <s v="APAC"/>
    <s v="Southeast Asia"/>
    <s v="OFF-BI-10002919"/>
    <x v="0"/>
    <s v="Binders"/>
    <s v="Acco Binder Covers, Durable"/>
    <n v="138.56699999999998"/>
    <n v="11"/>
    <n v="0.15000000000000002"/>
    <n v="14.486999999999995"/>
    <n v="20.91"/>
    <s v="High"/>
  </r>
  <r>
    <n v="29439"/>
    <s v="ID-2013-46329"/>
    <d v="2015-03-25T00:00:00"/>
    <d v="2015-03-25T00:00:00"/>
    <s v="Same Day"/>
    <s v="AJ-10945"/>
    <s v="Ashley Jarboe"/>
    <x v="2"/>
    <x v="11"/>
    <x v="2"/>
    <x v="0"/>
    <m/>
    <s v="APAC"/>
    <s v="Southeast Asia"/>
    <s v="TEC-AC-10004306"/>
    <x v="1"/>
    <s v="Accessories"/>
    <s v="Belkin Keyboard, Bluetooth"/>
    <n v="138.40199999999999"/>
    <n v="3"/>
    <n v="0.45"/>
    <n v="-100.72799999999999"/>
    <n v="1.51"/>
    <s v="Medium"/>
  </r>
  <r>
    <n v="27855"/>
    <s v="ID-2013-20471"/>
    <d v="2015-01-09T00:00:00"/>
    <d v="2015-01-12T00:00:00"/>
    <s v="First Class"/>
    <s v="LF-17185"/>
    <s v="Luke Foster"/>
    <x v="2"/>
    <x v="7"/>
    <x v="3"/>
    <x v="0"/>
    <m/>
    <s v="APAC"/>
    <s v="Southeast Asia"/>
    <s v="FUR-CH-10000391"/>
    <x v="2"/>
    <s v="Chairs"/>
    <s v="Novimex Bag Chairs, Red"/>
    <n v="137.88"/>
    <n v="4"/>
    <n v="0.25"/>
    <n v="-31.32"/>
    <n v="15.07"/>
    <s v="Medium"/>
  </r>
  <r>
    <n v="23025"/>
    <s v="ID-2011-75232"/>
    <d v="2013-06-14T00:00:00"/>
    <d v="2013-06-19T00:00:00"/>
    <s v="Standard Class"/>
    <s v="PF-19120"/>
    <s v="Peter Fuller"/>
    <x v="2"/>
    <x v="0"/>
    <x v="0"/>
    <x v="0"/>
    <m/>
    <s v="APAC"/>
    <s v="Southeast Asia"/>
    <s v="FUR-CH-10000258"/>
    <x v="2"/>
    <s v="Chairs"/>
    <s v="Office Star Steel Folding Chair, Red"/>
    <n v="137.565"/>
    <n v="2"/>
    <n v="0.25"/>
    <n v="-34.875"/>
    <n v="8.36"/>
    <s v="Medium"/>
  </r>
  <r>
    <n v="22700"/>
    <s v="ID-2011-47575"/>
    <d v="2013-02-15T00:00:00"/>
    <d v="2013-02-21T00:00:00"/>
    <s v="Standard Class"/>
    <s v="CM-12385"/>
    <s v="Christopher Martinez"/>
    <x v="2"/>
    <x v="0"/>
    <x v="0"/>
    <x v="0"/>
    <m/>
    <s v="APAC"/>
    <s v="Southeast Asia"/>
    <s v="TEC-PH-10003772"/>
    <x v="1"/>
    <s v="Phones"/>
    <s v="Cisco Headset, Cordless"/>
    <n v="136.935"/>
    <n v="2"/>
    <n v="0.25"/>
    <n v="-1.8449999999999989"/>
    <n v="16.420000000000002"/>
    <s v="Low"/>
  </r>
  <r>
    <n v="27196"/>
    <s v="IN-2012-31272"/>
    <d v="2014-08-08T00:00:00"/>
    <d v="2014-08-08T00:00:00"/>
    <s v="Same Day"/>
    <s v="AS-10240"/>
    <s v="Alan Shonely"/>
    <x v="2"/>
    <x v="0"/>
    <x v="0"/>
    <x v="0"/>
    <m/>
    <s v="APAC"/>
    <s v="Southeast Asia"/>
    <s v="FUR-FU-10002362"/>
    <x v="2"/>
    <s v="Furnishings"/>
    <s v="Advantus Door Stop, Black"/>
    <n v="135.09"/>
    <n v="4"/>
    <n v="0.25"/>
    <n v="28.77000000000001"/>
    <n v="45.17"/>
    <s v="Critical"/>
  </r>
  <r>
    <n v="28842"/>
    <s v="ID-2014-37516"/>
    <d v="2016-12-01T00:00:00"/>
    <d v="2016-12-05T00:00:00"/>
    <s v="Standard Class"/>
    <s v="KB-16405"/>
    <s v="Katrina Bavinger"/>
    <x v="0"/>
    <x v="0"/>
    <x v="0"/>
    <x v="0"/>
    <m/>
    <s v="APAC"/>
    <s v="Southeast Asia"/>
    <s v="FUR-CH-10002966"/>
    <x v="2"/>
    <s v="Chairs"/>
    <s v="Harbour Creations Swivel Stool, Red"/>
    <n v="135.09"/>
    <n v="1"/>
    <n v="0.25"/>
    <n v="-39.630000000000003"/>
    <n v="7.3"/>
    <s v="Medium"/>
  </r>
  <r>
    <n v="27975"/>
    <s v="IN-2013-47281"/>
    <d v="2015-05-24T00:00:00"/>
    <d v="2015-05-26T00:00:00"/>
    <s v="Second Class"/>
    <s v="MW-18220"/>
    <s v="Mitch Webber"/>
    <x v="2"/>
    <x v="15"/>
    <x v="0"/>
    <x v="0"/>
    <m/>
    <s v="APAC"/>
    <s v="Southeast Asia"/>
    <s v="FUR-CH-10000825"/>
    <x v="2"/>
    <s v="Chairs"/>
    <s v="SAFCO Chairmat, Red"/>
    <n v="134.59500000000003"/>
    <n v="3"/>
    <n v="0.25"/>
    <n v="25.064999999999984"/>
    <n v="15.43"/>
    <s v="High"/>
  </r>
  <r>
    <n v="27605"/>
    <s v="IN-2013-53882"/>
    <d v="2015-09-19T00:00:00"/>
    <d v="2015-09-21T00:00:00"/>
    <s v="First Class"/>
    <s v="SW-20275"/>
    <s v="Scott Williamson"/>
    <x v="2"/>
    <x v="12"/>
    <x v="2"/>
    <x v="0"/>
    <m/>
    <s v="APAC"/>
    <s v="Southeast Asia"/>
    <s v="TEC-AC-10003861"/>
    <x v="1"/>
    <s v="Accessories"/>
    <s v="Enermax Keyboard, Erganomic"/>
    <n v="134.09550000000002"/>
    <n v="3"/>
    <n v="0.45"/>
    <n v="-82.984499999999997"/>
    <n v="15.01"/>
    <s v="High"/>
  </r>
  <r>
    <n v="29830"/>
    <s v="ID-2011-31699"/>
    <d v="2013-12-08T00:00:00"/>
    <d v="2013-12-12T00:00:00"/>
    <s v="Standard Class"/>
    <s v="PM-19135"/>
    <s v="Peter McVee"/>
    <x v="0"/>
    <x v="0"/>
    <x v="0"/>
    <x v="0"/>
    <m/>
    <s v="APAC"/>
    <s v="Southeast Asia"/>
    <s v="OFF-PA-10001327"/>
    <x v="0"/>
    <s v="Paper"/>
    <s v="SanDisk Cards &amp; Envelopes, Recycled"/>
    <n v="132.9075"/>
    <n v="5"/>
    <n v="0.45"/>
    <n v="-87.142500000000013"/>
    <n v="9.52"/>
    <s v="Medium"/>
  </r>
  <r>
    <n v="26411"/>
    <s v="ID-2013-71522"/>
    <d v="2015-01-15T00:00:00"/>
    <d v="2015-01-21T00:00:00"/>
    <s v="Standard Class"/>
    <s v="TA-21385"/>
    <s v="Tom Ashbrook"/>
    <x v="0"/>
    <x v="0"/>
    <x v="0"/>
    <x v="0"/>
    <m/>
    <s v="APAC"/>
    <s v="Southeast Asia"/>
    <s v="FUR-CH-10003846"/>
    <x v="2"/>
    <s v="Chairs"/>
    <s v="Office Star Swivel Stool, Set of Two"/>
    <n v="132.14249999999998"/>
    <n v="1"/>
    <n v="0.25"/>
    <n v="-44.047499999999999"/>
    <n v="5.55"/>
    <s v="Low"/>
  </r>
  <r>
    <n v="23654"/>
    <s v="IN-2013-62191"/>
    <d v="2015-08-22T00:00:00"/>
    <d v="2015-08-24T00:00:00"/>
    <s v="Second Class"/>
    <s v="JM-15865"/>
    <s v="John Murray"/>
    <x v="2"/>
    <x v="4"/>
    <x v="2"/>
    <x v="0"/>
    <m/>
    <s v="APAC"/>
    <s v="Southeast Asia"/>
    <s v="OFF-SU-10001066"/>
    <x v="0"/>
    <s v="Supplies"/>
    <s v="Acme Letter Opener, Steel"/>
    <n v="130.28400000000002"/>
    <n v="8"/>
    <n v="0.45"/>
    <n v="-85.476000000000013"/>
    <n v="8.7100000000000009"/>
    <s v="High"/>
  </r>
  <r>
    <n v="29134"/>
    <s v="ID-2013-66258"/>
    <d v="2015-04-26T00:00:00"/>
    <d v="2015-05-03T00:00:00"/>
    <s v="Standard Class"/>
    <s v="BE-11410"/>
    <s v="Bobby Elias"/>
    <x v="2"/>
    <x v="7"/>
    <x v="3"/>
    <x v="0"/>
    <m/>
    <s v="APAC"/>
    <s v="Southeast Asia"/>
    <s v="OFF-BI-10004105"/>
    <x v="0"/>
    <s v="Binders"/>
    <s v="Acco 3-Hole Punch, Recycled"/>
    <n v="129.54000000000002"/>
    <n v="5"/>
    <n v="0.15000000000000002"/>
    <n v="19.739999999999988"/>
    <n v="13.12"/>
    <s v="Low"/>
  </r>
  <r>
    <n v="29684"/>
    <s v="ID-2014-18665"/>
    <d v="2016-03-15T00:00:00"/>
    <d v="2016-03-21T00:00:00"/>
    <s v="Standard Class"/>
    <s v="NR-18550"/>
    <s v="Nick Radford"/>
    <x v="2"/>
    <x v="16"/>
    <x v="0"/>
    <x v="0"/>
    <m/>
    <s v="APAC"/>
    <s v="Southeast Asia"/>
    <s v="OFF-BI-10000328"/>
    <x v="0"/>
    <s v="Binders"/>
    <s v="Acco Binding Machine, Clear"/>
    <n v="128.9025"/>
    <n v="3"/>
    <n v="0.15000000000000002"/>
    <n v="30.262499999999989"/>
    <n v="10.85"/>
    <s v="Medium"/>
  </r>
  <r>
    <n v="25195"/>
    <s v="IN-2014-48121"/>
    <d v="2016-02-18T00:00:00"/>
    <d v="2016-02-20T00:00:00"/>
    <s v="First Class"/>
    <s v="CM-12160"/>
    <s v="Charles McCrossin"/>
    <x v="2"/>
    <x v="8"/>
    <x v="4"/>
    <x v="0"/>
    <m/>
    <s v="APAC"/>
    <s v="Southeast Asia"/>
    <s v="TEC-MA-10004613"/>
    <x v="1"/>
    <s v="Machines"/>
    <s v="Okidata Phone, White"/>
    <n v="127.88999999999999"/>
    <n v="2"/>
    <n v="0.25"/>
    <n v="28.950000000000003"/>
    <n v="21.1"/>
    <s v="High"/>
  </r>
  <r>
    <n v="27168"/>
    <s v="ID-2012-10755"/>
    <d v="2014-10-11T00:00:00"/>
    <d v="2014-10-18T00:00:00"/>
    <s v="Standard Class"/>
    <s v="ER-13855"/>
    <s v="Elpida Rittenbach"/>
    <x v="1"/>
    <x v="0"/>
    <x v="0"/>
    <x v="0"/>
    <m/>
    <s v="APAC"/>
    <s v="Southeast Asia"/>
    <s v="OFF-EN-10003498"/>
    <x v="0"/>
    <s v="Envelopes"/>
    <s v="Cameo Interoffice Envelope, Recycled"/>
    <n v="127.13250000000002"/>
    <n v="5"/>
    <n v="0.45"/>
    <n v="-18.517500000000013"/>
    <n v="5.73"/>
    <s v="Medium"/>
  </r>
  <r>
    <n v="26203"/>
    <s v="ID-2013-68792"/>
    <d v="2015-04-06T00:00:00"/>
    <d v="2015-04-12T00:00:00"/>
    <s v="Standard Class"/>
    <s v="NS-18505"/>
    <s v="Neola Schneider"/>
    <x v="2"/>
    <x v="0"/>
    <x v="0"/>
    <x v="0"/>
    <m/>
    <s v="APAC"/>
    <s v="Southeast Asia"/>
    <s v="OFF-SU-10000723"/>
    <x v="0"/>
    <s v="Supplies"/>
    <s v="Kleencut Shears, Steel"/>
    <n v="126.96750000000002"/>
    <n v="5"/>
    <n v="0.45"/>
    <n v="-60.08250000000001"/>
    <n v="6.77"/>
    <s v="Medium"/>
  </r>
  <r>
    <n v="20778"/>
    <s v="ID-2012-41408"/>
    <d v="2014-01-12T00:00:00"/>
    <d v="2014-01-17T00:00:00"/>
    <s v="Standard Class"/>
    <s v="RD-19585"/>
    <s v="Rob Dowd"/>
    <x v="2"/>
    <x v="13"/>
    <x v="0"/>
    <x v="0"/>
    <m/>
    <s v="APAC"/>
    <s v="Southeast Asia"/>
    <s v="OFF-BI-10002682"/>
    <x v="0"/>
    <s v="Binders"/>
    <s v="Cardinal Binding Machine, Economy"/>
    <n v="126.91350000000001"/>
    <n v="3"/>
    <n v="0.15000000000000002"/>
    <n v="28.363499999999984"/>
    <n v="9.85"/>
    <s v="Medium"/>
  </r>
  <r>
    <n v="23512"/>
    <s v="ID-2012-40176"/>
    <d v="2014-10-01T00:00:00"/>
    <d v="2014-10-05T00:00:00"/>
    <s v="Standard Class"/>
    <s v="HM-14860"/>
    <s v="Harry Marie"/>
    <x v="1"/>
    <x v="0"/>
    <x v="0"/>
    <x v="0"/>
    <m/>
    <s v="APAC"/>
    <s v="Southeast Asia"/>
    <s v="TEC-MA-10001711"/>
    <x v="1"/>
    <s v="Machines"/>
    <s v="Konica Phone, White"/>
    <n v="126.89999999999999"/>
    <n v="2"/>
    <n v="0.25"/>
    <n v="-1.7399999999999949"/>
    <n v="10.39"/>
    <s v="Medium"/>
  </r>
  <r>
    <n v="25177"/>
    <s v="ID-2014-24538"/>
    <d v="2016-10-10T00:00:00"/>
    <d v="2016-10-12T00:00:00"/>
    <s v="Second Class"/>
    <s v="PC-18745"/>
    <s v="Pamela Coakley"/>
    <x v="1"/>
    <x v="4"/>
    <x v="2"/>
    <x v="0"/>
    <m/>
    <s v="APAC"/>
    <s v="Southeast Asia"/>
    <s v="FUR-CH-10002626"/>
    <x v="2"/>
    <s v="Chairs"/>
    <s v="Hon Steel Folding Chair, Adjustable"/>
    <n v="125.86499999999999"/>
    <n v="2"/>
    <n v="0.25"/>
    <n v="40.24499999999999"/>
    <n v="15.55"/>
    <s v="High"/>
  </r>
  <r>
    <n v="21967"/>
    <s v="ID-2013-32686"/>
    <d v="2015-08-29T00:00:00"/>
    <d v="2015-09-04T00:00:00"/>
    <s v="Standard Class"/>
    <s v="MP-18175"/>
    <s v="Mike Pelletier"/>
    <x v="0"/>
    <x v="10"/>
    <x v="5"/>
    <x v="0"/>
    <m/>
    <s v="APAC"/>
    <s v="Southeast Asia"/>
    <s v="TEC-CO-10000129"/>
    <x v="1"/>
    <s v="Copiers"/>
    <s v="Brother Fax and Copier, Color"/>
    <n v="125.40450000000001"/>
    <n v="1"/>
    <n v="0.35"/>
    <n v="-25.105499999999992"/>
    <n v="18.53"/>
    <s v="Low"/>
  </r>
  <r>
    <n v="22034"/>
    <s v="ID-2014-10356"/>
    <d v="2016-04-18T00:00:00"/>
    <d v="2016-04-22T00:00:00"/>
    <s v="Standard Class"/>
    <s v="HZ-14950"/>
    <s v="Henia Zydlo"/>
    <x v="2"/>
    <x v="0"/>
    <x v="0"/>
    <x v="0"/>
    <m/>
    <s v="APAC"/>
    <s v="Southeast Asia"/>
    <s v="TEC-CO-10000129"/>
    <x v="1"/>
    <s v="Copiers"/>
    <s v="Brother Fax and Copier, Color"/>
    <n v="125.40450000000001"/>
    <n v="1"/>
    <n v="0.35"/>
    <n v="-25.105499999999992"/>
    <n v="6.85"/>
    <s v="Medium"/>
  </r>
  <r>
    <n v="22943"/>
    <s v="IN-2011-56213"/>
    <d v="2013-02-28T00:00:00"/>
    <d v="2013-03-04T00:00:00"/>
    <s v="Second Class"/>
    <s v="DB-13270"/>
    <s v="Deborah Brumfield"/>
    <x v="0"/>
    <x v="0"/>
    <x v="0"/>
    <x v="0"/>
    <m/>
    <s v="APAC"/>
    <s v="Southeast Asia"/>
    <s v="OFF-BI-10002243"/>
    <x v="0"/>
    <s v="Binders"/>
    <s v="Wilson Jones 3-Hole Punch, Durable"/>
    <n v="125.33250000000001"/>
    <n v="5"/>
    <n v="0.15000000000000002"/>
    <n v="41.18249999999999"/>
    <n v="7.71"/>
    <s v="Medium"/>
  </r>
  <r>
    <n v="27471"/>
    <s v="ID-2014-39525"/>
    <d v="2016-06-14T00:00:00"/>
    <d v="2016-06-19T00:00:00"/>
    <s v="Standard Class"/>
    <s v="RE-19405"/>
    <s v="Ricardo Emerson"/>
    <x v="2"/>
    <x v="13"/>
    <x v="0"/>
    <x v="0"/>
    <m/>
    <s v="APAC"/>
    <s v="Southeast Asia"/>
    <s v="TEC-PH-10002806"/>
    <x v="1"/>
    <s v="Phones"/>
    <s v="Apple Audio Dock, VoIP"/>
    <n v="125.23500000000001"/>
    <n v="1"/>
    <n v="0.25"/>
    <n v="-3.3449999999999989"/>
    <n v="7.71"/>
    <s v="High"/>
  </r>
  <r>
    <n v="23023"/>
    <s v="ID-2011-75232"/>
    <d v="2013-06-14T00:00:00"/>
    <d v="2013-06-19T00:00:00"/>
    <s v="Standard Class"/>
    <s v="PF-19120"/>
    <s v="Peter Fuller"/>
    <x v="2"/>
    <x v="0"/>
    <x v="0"/>
    <x v="0"/>
    <m/>
    <s v="APAC"/>
    <s v="Southeast Asia"/>
    <s v="OFF-PA-10003550"/>
    <x v="0"/>
    <s v="Paper"/>
    <s v="Eaton Cards &amp; Envelopes, Recycled"/>
    <n v="123.99750000000003"/>
    <n v="5"/>
    <n v="0.45"/>
    <n v="-67.702500000000015"/>
    <n v="6.54"/>
    <s v="Medium"/>
  </r>
  <r>
    <n v="29153"/>
    <s v="IN-2012-26484"/>
    <d v="2014-01-30T00:00:00"/>
    <d v="2014-01-31T00:00:00"/>
    <s v="First Class"/>
    <s v="RD-19660"/>
    <s v="Robert Dilbeck"/>
    <x v="0"/>
    <x v="12"/>
    <x v="2"/>
    <x v="0"/>
    <m/>
    <s v="APAC"/>
    <s v="Southeast Asia"/>
    <s v="OFF-PA-10003332"/>
    <x v="0"/>
    <s v="Paper"/>
    <s v="Xerox Cards &amp; Envelopes, Recycled"/>
    <n v="123.42000000000002"/>
    <n v="5"/>
    <n v="0.45"/>
    <n v="-33.78"/>
    <n v="20.11"/>
    <s v="Critical"/>
  </r>
  <r>
    <n v="26354"/>
    <s v="IN-2011-17062"/>
    <d v="2013-09-19T00:00:00"/>
    <d v="2013-09-20T00:00:00"/>
    <s v="First Class"/>
    <s v="BT-11395"/>
    <s v="Bill Tyler"/>
    <x v="1"/>
    <x v="8"/>
    <x v="4"/>
    <x v="0"/>
    <m/>
    <s v="APAC"/>
    <s v="Southeast Asia"/>
    <s v="TEC-PH-10000824"/>
    <x v="1"/>
    <s v="Phones"/>
    <s v="Cisco Office Telephone, Full Size"/>
    <n v="122.625"/>
    <n v="2"/>
    <n v="0.25"/>
    <n v="11.445000000000007"/>
    <n v="12.9"/>
    <s v="High"/>
  </r>
  <r>
    <n v="24359"/>
    <s v="ID-2013-61442"/>
    <d v="2015-01-15T00:00:00"/>
    <d v="2015-01-21T00:00:00"/>
    <s v="Standard Class"/>
    <s v="JB-16000"/>
    <s v="Joy Bell-"/>
    <x v="2"/>
    <x v="0"/>
    <x v="0"/>
    <x v="0"/>
    <m/>
    <s v="APAC"/>
    <s v="Southeast Asia"/>
    <s v="OFF-BI-10001400"/>
    <x v="0"/>
    <s v="Binders"/>
    <s v="Cardinal 3-Hole Punch, Economy"/>
    <n v="122.39999999999998"/>
    <n v="5"/>
    <n v="0.15000000000000002"/>
    <n v="0"/>
    <n v="21.71"/>
    <s v="Low"/>
  </r>
  <r>
    <n v="20299"/>
    <s v="IN-2014-63178"/>
    <d v="2016-06-24T00:00:00"/>
    <d v="2016-06-30T00:00:00"/>
    <s v="Standard Class"/>
    <s v="SO-20335"/>
    <s v="Sean O'Donnell"/>
    <x v="2"/>
    <x v="2"/>
    <x v="0"/>
    <x v="0"/>
    <m/>
    <s v="APAC"/>
    <s v="Southeast Asia"/>
    <s v="OFF-AP-10002882"/>
    <x v="0"/>
    <s v="Appliances"/>
    <s v="KitchenAid Coffee Grinder, Silver"/>
    <n v="121.074"/>
    <n v="2"/>
    <n v="0.15000000000000002"/>
    <n v="37.013999999999996"/>
    <n v="12.35"/>
    <s v="Medium"/>
  </r>
  <r>
    <n v="22942"/>
    <s v="IN-2011-56213"/>
    <d v="2013-02-28T00:00:00"/>
    <d v="2013-03-04T00:00:00"/>
    <s v="Second Class"/>
    <s v="DB-13270"/>
    <s v="Deborah Brumfield"/>
    <x v="0"/>
    <x v="0"/>
    <x v="0"/>
    <x v="0"/>
    <m/>
    <s v="APAC"/>
    <s v="Southeast Asia"/>
    <s v="TEC-AC-10004081"/>
    <x v="1"/>
    <s v="Accessories"/>
    <s v="Logitech Keyboard, Bluetooth"/>
    <n v="119.54250000000002"/>
    <n v="3"/>
    <n v="0.45"/>
    <n v="10.822499999999991"/>
    <n v="18.64"/>
    <s v="Medium"/>
  </r>
  <r>
    <n v="20476"/>
    <s v="ID-2012-61722"/>
    <d v="2014-11-13T00:00:00"/>
    <d v="2014-11-16T00:00:00"/>
    <s v="First Class"/>
    <s v="TC-21145"/>
    <s v="Theresa Coyne"/>
    <x v="1"/>
    <x v="0"/>
    <x v="0"/>
    <x v="0"/>
    <m/>
    <s v="APAC"/>
    <s v="Southeast Asia"/>
    <s v="TEC-AC-10004016"/>
    <x v="1"/>
    <s v="Accessories"/>
    <s v="Memorex Flash Drive, Programmable"/>
    <n v="118.965"/>
    <n v="7"/>
    <n v="0.45"/>
    <n v="-45.465000000000003"/>
    <n v="6.63"/>
    <s v="Medium"/>
  </r>
  <r>
    <n v="29919"/>
    <s v="IN-2014-59643"/>
    <d v="2016-10-20T00:00:00"/>
    <d v="2016-10-22T00:00:00"/>
    <s v="Second Class"/>
    <s v="EH-14005"/>
    <s v="Erica Hernandez"/>
    <x v="0"/>
    <x v="11"/>
    <x v="2"/>
    <x v="0"/>
    <m/>
    <s v="APAC"/>
    <s v="Southeast Asia"/>
    <s v="FUR-FU-10001746"/>
    <x v="2"/>
    <s v="Furnishings"/>
    <s v="Advantus Stacking Tray, Durable"/>
    <n v="118.66500000000002"/>
    <n v="6"/>
    <n v="0.25"/>
    <n v="18.944999999999993"/>
    <n v="24.73"/>
    <s v="High"/>
  </r>
  <r>
    <n v="27604"/>
    <s v="IN-2013-53882"/>
    <d v="2015-09-19T00:00:00"/>
    <d v="2015-09-21T00:00:00"/>
    <s v="First Class"/>
    <s v="SW-20275"/>
    <s v="Scott Williamson"/>
    <x v="2"/>
    <x v="12"/>
    <x v="2"/>
    <x v="0"/>
    <m/>
    <s v="APAC"/>
    <s v="Southeast Asia"/>
    <s v="OFF-PA-10003805"/>
    <x v="0"/>
    <s v="Paper"/>
    <s v="Eaton Note Cards, Multicolor"/>
    <n v="118.27200000000001"/>
    <n v="7"/>
    <n v="0.45"/>
    <n v="-43.008000000000003"/>
    <n v="22.79"/>
    <s v="High"/>
  </r>
  <r>
    <n v="28682"/>
    <s v="IN-2013-19736"/>
    <d v="2015-08-15T00:00:00"/>
    <d v="2015-08-17T00:00:00"/>
    <s v="Second Class"/>
    <s v="SZ-20035"/>
    <s v="Sam Zeldin"/>
    <x v="0"/>
    <x v="5"/>
    <x v="0"/>
    <x v="0"/>
    <m/>
    <s v="APAC"/>
    <s v="Southeast Asia"/>
    <s v="OFF-ST-10002967"/>
    <x v="0"/>
    <s v="Storage"/>
    <s v="Rogers Folders, Blue"/>
    <n v="118.15649999999999"/>
    <n v="7"/>
    <n v="0.45"/>
    <n v="8.5365000000000038"/>
    <n v="10.65"/>
    <s v="Medium"/>
  </r>
  <r>
    <n v="29949"/>
    <s v="ID-2014-52475"/>
    <d v="2016-01-11T00:00:00"/>
    <d v="2016-01-16T00:00:00"/>
    <s v="Standard Class"/>
    <s v="JE-15745"/>
    <s v="Joel Eaton"/>
    <x v="2"/>
    <x v="0"/>
    <x v="0"/>
    <x v="0"/>
    <m/>
    <s v="APAC"/>
    <s v="Southeast Asia"/>
    <s v="OFF-SU-10002448"/>
    <x v="0"/>
    <s v="Supplies"/>
    <s v="Stiletto Trimmer, High Speed"/>
    <n v="117.56250000000003"/>
    <n v="5"/>
    <n v="0.45"/>
    <n v="-55.687500000000021"/>
    <n v="14.75"/>
    <s v="High"/>
  </r>
  <r>
    <n v="20547"/>
    <s v="ID-2012-21787"/>
    <d v="2014-06-19T00:00:00"/>
    <d v="2014-06-24T00:00:00"/>
    <s v="Standard Class"/>
    <s v="DR-12940"/>
    <s v="Daniel Raglin"/>
    <x v="0"/>
    <x v="0"/>
    <x v="0"/>
    <x v="0"/>
    <m/>
    <s v="APAC"/>
    <s v="Southeast Asia"/>
    <s v="TEC-MA-10002226"/>
    <x v="1"/>
    <s v="Machines"/>
    <s v="Epson Phone, Red"/>
    <n v="117.18"/>
    <n v="2"/>
    <n v="0.25"/>
    <n v="-17.220000000000002"/>
    <n v="22.04"/>
    <s v="High"/>
  </r>
  <r>
    <n v="20824"/>
    <s v="ID-2014-64025"/>
    <d v="2016-09-05T00:00:00"/>
    <d v="2016-09-11T00:00:00"/>
    <s v="Standard Class"/>
    <s v="AG-10900"/>
    <s v="Arthur Gainer"/>
    <x v="2"/>
    <x v="15"/>
    <x v="0"/>
    <x v="0"/>
    <m/>
    <s v="APAC"/>
    <s v="Southeast Asia"/>
    <s v="FUR-CH-10004065"/>
    <x v="2"/>
    <s v="Chairs"/>
    <s v="SAFCO Bag Chairs, Adjustable"/>
    <n v="116.84249999999997"/>
    <n v="3"/>
    <n v="0.25"/>
    <n v="-14.107499999999995"/>
    <n v="10.5"/>
    <s v="Medium"/>
  </r>
  <r>
    <n v="29759"/>
    <s v="ID-2013-63570"/>
    <d v="2015-06-07T00:00:00"/>
    <d v="2015-06-12T00:00:00"/>
    <s v="Standard Class"/>
    <s v="TR-21325"/>
    <s v="Toby Ritter"/>
    <x v="2"/>
    <x v="0"/>
    <x v="0"/>
    <x v="0"/>
    <m/>
    <s v="APAC"/>
    <s v="Southeast Asia"/>
    <s v="OFF-ST-10004315"/>
    <x v="0"/>
    <s v="Storage"/>
    <s v="Rogers Lockers, Blue"/>
    <n v="116.39100000000001"/>
    <n v="1"/>
    <n v="0.45"/>
    <n v="-84.668999999999997"/>
    <n v="7.91"/>
    <s v="Medium"/>
  </r>
  <r>
    <n v="27030"/>
    <s v="ID-2014-65824"/>
    <d v="2016-01-07T00:00:00"/>
    <d v="2016-01-11T00:00:00"/>
    <s v="Standard Class"/>
    <s v="AA-10315"/>
    <s v="Alex Avila"/>
    <x v="2"/>
    <x v="8"/>
    <x v="4"/>
    <x v="0"/>
    <m/>
    <s v="APAC"/>
    <s v="Southeast Asia"/>
    <s v="TEC-MA-10003170"/>
    <x v="1"/>
    <s v="Machines"/>
    <s v="Konica Calculator, Wireless"/>
    <n v="116.16750000000002"/>
    <n v="3"/>
    <n v="0.25"/>
    <n v="35.6175"/>
    <n v="10.44"/>
    <s v="Medium"/>
  </r>
  <r>
    <n v="30051"/>
    <s v="ID-2011-17237"/>
    <d v="2013-08-02T00:00:00"/>
    <d v="2013-08-08T00:00:00"/>
    <s v="Standard Class"/>
    <s v="VF-21715"/>
    <s v="Vicky Freymann"/>
    <x v="0"/>
    <x v="0"/>
    <x v="0"/>
    <x v="0"/>
    <m/>
    <s v="APAC"/>
    <s v="Southeast Asia"/>
    <s v="TEC-AC-10001835"/>
    <x v="1"/>
    <s v="Accessories"/>
    <s v="Belkin Mouse, Programmable"/>
    <n v="116.07750000000001"/>
    <n v="5"/>
    <n v="0.45"/>
    <n v="-65.572500000000019"/>
    <n v="4.1900000000000004"/>
    <s v="Medium"/>
  </r>
  <r>
    <n v="30259"/>
    <s v="ID-2012-64844"/>
    <d v="2014-05-16T00:00:00"/>
    <d v="2014-05-21T00:00:00"/>
    <s v="Standard Class"/>
    <s v="SZ-20035"/>
    <s v="Sam Zeldin"/>
    <x v="0"/>
    <x v="0"/>
    <x v="0"/>
    <x v="0"/>
    <m/>
    <s v="APAC"/>
    <s v="Southeast Asia"/>
    <s v="OFF-SU-10000207"/>
    <x v="0"/>
    <s v="Supplies"/>
    <s v="Kleencut Box Cutter, High Speed"/>
    <n v="114.345"/>
    <n v="6"/>
    <n v="0.45"/>
    <n v="-43.694999999999993"/>
    <n v="7.57"/>
    <s v="Medium"/>
  </r>
  <r>
    <n v="26806"/>
    <s v="ID-2012-77318"/>
    <d v="2014-11-02T00:00:00"/>
    <d v="2014-11-05T00:00:00"/>
    <s v="First Class"/>
    <s v="CC-12670"/>
    <s v="Craig Carreira"/>
    <x v="2"/>
    <x v="0"/>
    <x v="0"/>
    <x v="0"/>
    <m/>
    <s v="APAC"/>
    <s v="Southeast Asia"/>
    <s v="OFF-ST-10004060"/>
    <x v="0"/>
    <s v="Storage"/>
    <s v="Fellowes Lockers, Blue"/>
    <n v="114.03149999999999"/>
    <n v="1"/>
    <n v="0.45"/>
    <n v="-4.1684999999999945"/>
    <n v="4.34"/>
    <s v="Medium"/>
  </r>
  <r>
    <n v="26728"/>
    <s v="ID-2013-25742"/>
    <d v="2015-01-28T00:00:00"/>
    <d v="2015-01-30T00:00:00"/>
    <s v="First Class"/>
    <s v="SC-20695"/>
    <s v="Steve Chapman"/>
    <x v="1"/>
    <x v="0"/>
    <x v="0"/>
    <x v="0"/>
    <m/>
    <s v="APAC"/>
    <s v="Southeast Asia"/>
    <s v="TEC-AC-10000051"/>
    <x v="1"/>
    <s v="Accessories"/>
    <s v="Logitech Memory Card, USB"/>
    <n v="113.94900000000001"/>
    <n v="2"/>
    <n v="0.45"/>
    <n v="-49.731000000000009"/>
    <n v="7.9"/>
    <s v="High"/>
  </r>
  <r>
    <n v="26057"/>
    <s v="ID-2013-30628"/>
    <d v="2015-12-03T00:00:00"/>
    <d v="2015-12-05T00:00:00"/>
    <s v="First Class"/>
    <s v="EB-13975"/>
    <s v="Erica Bern"/>
    <x v="1"/>
    <x v="0"/>
    <x v="0"/>
    <x v="0"/>
    <m/>
    <s v="APAC"/>
    <s v="Southeast Asia"/>
    <s v="OFF-AR-10002417"/>
    <x v="0"/>
    <s v="Art"/>
    <s v="Boston Sketch Pad, Water Color"/>
    <n v="113.91600000000001"/>
    <n v="4"/>
    <n v="0.45"/>
    <n v="-70.524000000000001"/>
    <n v="15.92"/>
    <s v="High"/>
  </r>
  <r>
    <n v="28148"/>
    <s v="ID-2013-68841"/>
    <d v="2015-09-03T00:00:00"/>
    <d v="2015-09-08T00:00:00"/>
    <s v="Standard Class"/>
    <s v="SM-20005"/>
    <s v="Sally Matthias"/>
    <x v="2"/>
    <x v="13"/>
    <x v="0"/>
    <x v="0"/>
    <m/>
    <s v="APAC"/>
    <s v="Southeast Asia"/>
    <s v="FUR-FU-10002829"/>
    <x v="2"/>
    <s v="Furnishings"/>
    <s v="Deflect-O Clock, Black"/>
    <n v="113.19750000000001"/>
    <n v="3"/>
    <n v="0.25"/>
    <n v="-27.202500000000001"/>
    <n v="15.87"/>
    <s v="High"/>
  </r>
  <r>
    <n v="22394"/>
    <s v="ID-2013-60959"/>
    <d v="2015-11-11T00:00:00"/>
    <d v="2015-11-16T00:00:00"/>
    <s v="Second Class"/>
    <s v="JM-15580"/>
    <s v="Jill Matthias"/>
    <x v="2"/>
    <x v="0"/>
    <x v="0"/>
    <x v="0"/>
    <m/>
    <s v="APAC"/>
    <s v="Southeast Asia"/>
    <s v="OFF-EN-10002258"/>
    <x v="0"/>
    <s v="Envelopes"/>
    <s v="Jiffy Mailers, with clear poly window"/>
    <n v="111.95250000000001"/>
    <n v="5"/>
    <n v="0.45"/>
    <n v="-12.247500000000002"/>
    <n v="10.3"/>
    <s v="Medium"/>
  </r>
  <r>
    <n v="29279"/>
    <s v="ID-2014-27765"/>
    <d v="2016-09-08T00:00:00"/>
    <d v="2016-09-11T00:00:00"/>
    <s v="First Class"/>
    <s v="KM-16720"/>
    <s v="Kunst Miller"/>
    <x v="2"/>
    <x v="0"/>
    <x v="0"/>
    <x v="0"/>
    <m/>
    <s v="APAC"/>
    <s v="Southeast Asia"/>
    <s v="OFF-AR-10003613"/>
    <x v="0"/>
    <s v="Art"/>
    <s v="Sanford Canvas, Easy-Erase"/>
    <n v="111.73800000000001"/>
    <n v="4"/>
    <n v="0.45"/>
    <n v="-30.581999999999994"/>
    <n v="14.29"/>
    <s v="Medium"/>
  </r>
  <r>
    <n v="23027"/>
    <s v="ID-2011-75232"/>
    <d v="2013-06-14T00:00:00"/>
    <d v="2013-06-19T00:00:00"/>
    <s v="Standard Class"/>
    <s v="PF-19120"/>
    <s v="Peter Fuller"/>
    <x v="2"/>
    <x v="0"/>
    <x v="0"/>
    <x v="0"/>
    <m/>
    <s v="APAC"/>
    <s v="Southeast Asia"/>
    <s v="TEC-AC-10003889"/>
    <x v="1"/>
    <s v="Accessories"/>
    <s v="Enermax Mouse, USB"/>
    <n v="111.375"/>
    <n v="5"/>
    <n v="0.45"/>
    <n v="-42.524999999999984"/>
    <n v="8.74"/>
    <s v="Medium"/>
  </r>
  <r>
    <n v="25692"/>
    <s v="IN-2012-40736"/>
    <d v="2014-09-13T00:00:00"/>
    <d v="2014-09-18T00:00:00"/>
    <s v="Standard Class"/>
    <s v="NF-18475"/>
    <s v="Neil Französisch"/>
    <x v="0"/>
    <x v="13"/>
    <x v="0"/>
    <x v="0"/>
    <m/>
    <s v="APAC"/>
    <s v="Southeast Asia"/>
    <s v="OFF-AP-10000490"/>
    <x v="0"/>
    <s v="Appliances"/>
    <s v="Hamilton Beach Coffee Grinder, Silver"/>
    <n v="110.6955"/>
    <n v="3"/>
    <n v="0.15000000000000002"/>
    <n v="12.955500000000001"/>
    <n v="6.9"/>
    <s v="Medium"/>
  </r>
  <r>
    <n v="27473"/>
    <s v="ID-2014-39525"/>
    <d v="2016-06-14T00:00:00"/>
    <d v="2016-06-19T00:00:00"/>
    <s v="Standard Class"/>
    <s v="RE-19405"/>
    <s v="Ricardo Emerson"/>
    <x v="2"/>
    <x v="13"/>
    <x v="0"/>
    <x v="0"/>
    <m/>
    <s v="APAC"/>
    <s v="Southeast Asia"/>
    <s v="FUR-CH-10004600"/>
    <x v="2"/>
    <s v="Chairs"/>
    <s v="Harbour Creations Chairmat, Red"/>
    <n v="108.00000000000003"/>
    <n v="2"/>
    <n v="0.25"/>
    <n v="31.679999999999986"/>
    <n v="10.16"/>
    <s v="High"/>
  </r>
  <r>
    <n v="28752"/>
    <s v="ID-2014-33827"/>
    <d v="2016-11-14T00:00:00"/>
    <d v="2016-11-20T00:00:00"/>
    <s v="Standard Class"/>
    <s v="RP-19270"/>
    <s v="Rachel Payne"/>
    <x v="1"/>
    <x v="0"/>
    <x v="0"/>
    <x v="0"/>
    <m/>
    <s v="APAC"/>
    <s v="Southeast Asia"/>
    <s v="OFF-EN-10001976"/>
    <x v="0"/>
    <s v="Envelopes"/>
    <s v="Jiffy Interoffice Envelope, Security-Tint"/>
    <n v="107.44800000000002"/>
    <n v="4"/>
    <n v="0.45"/>
    <n v="-33.312000000000012"/>
    <n v="7.11"/>
    <s v="Medium"/>
  </r>
  <r>
    <n v="25225"/>
    <s v="ID-2013-47862"/>
    <d v="2015-11-29T00:00:00"/>
    <d v="2015-12-01T00:00:00"/>
    <s v="First Class"/>
    <s v="JD-15790"/>
    <s v="John Dryer"/>
    <x v="2"/>
    <x v="5"/>
    <x v="0"/>
    <x v="0"/>
    <m/>
    <s v="APAC"/>
    <s v="Southeast Asia"/>
    <s v="FUR-CH-10004312"/>
    <x v="2"/>
    <s v="Chairs"/>
    <s v="Hon Bag Chairs, Set of Two"/>
    <n v="106.64999999999999"/>
    <n v="3"/>
    <n v="0.25"/>
    <n v="-1.4399999999999977"/>
    <n v="15.02"/>
    <s v="High"/>
  </r>
  <r>
    <n v="21889"/>
    <s v="IN-2012-62373"/>
    <d v="2014-09-28T00:00:00"/>
    <d v="2014-09-29T00:00:00"/>
    <s v="First Class"/>
    <s v="EM-14140"/>
    <s v="Eugene Moren"/>
    <x v="0"/>
    <x v="5"/>
    <x v="0"/>
    <x v="0"/>
    <m/>
    <s v="APAC"/>
    <s v="Southeast Asia"/>
    <s v="FUR-FU-10001471"/>
    <x v="2"/>
    <s v="Furnishings"/>
    <s v="Eldon Door Stop, Durable"/>
    <n v="106.17749999999999"/>
    <n v="3"/>
    <n v="0.25"/>
    <n v="16.987500000000004"/>
    <n v="8.58"/>
    <s v="High"/>
  </r>
  <r>
    <n v="23588"/>
    <s v="IN-2013-33995"/>
    <d v="2015-03-23T00:00:00"/>
    <d v="2015-03-25T00:00:00"/>
    <s v="First Class"/>
    <s v="AR-10540"/>
    <s v="Andy Reiter"/>
    <x v="2"/>
    <x v="0"/>
    <x v="0"/>
    <x v="0"/>
    <m/>
    <s v="APAC"/>
    <s v="Southeast Asia"/>
    <s v="TEC-MA-10004822"/>
    <x v="1"/>
    <s v="Machines"/>
    <s v="Epson Calculator, Durable"/>
    <n v="104.6925"/>
    <n v="3"/>
    <n v="0.25"/>
    <n v="-5.6475000000000009"/>
    <n v="15.93"/>
    <s v="Critical"/>
  </r>
  <r>
    <n v="20546"/>
    <s v="ID-2012-21787"/>
    <d v="2014-06-19T00:00:00"/>
    <d v="2014-06-24T00:00:00"/>
    <s v="Standard Class"/>
    <s v="DR-12940"/>
    <s v="Daniel Raglin"/>
    <x v="0"/>
    <x v="0"/>
    <x v="0"/>
    <x v="0"/>
    <m/>
    <s v="APAC"/>
    <s v="Southeast Asia"/>
    <s v="TEC-PH-10003348"/>
    <x v="1"/>
    <s v="Phones"/>
    <s v="Cisco Speaker Phone, with Caller ID"/>
    <n v="103.85999999999999"/>
    <n v="1"/>
    <n v="0.25"/>
    <n v="22.140000000000008"/>
    <n v="12.93"/>
    <s v="High"/>
  </r>
  <r>
    <n v="22449"/>
    <s v="IN-2013-65166"/>
    <d v="2015-05-07T00:00:00"/>
    <d v="2015-05-09T00:00:00"/>
    <s v="First Class"/>
    <s v="LP-17095"/>
    <s v="Liz Preis"/>
    <x v="2"/>
    <x v="4"/>
    <x v="2"/>
    <x v="0"/>
    <m/>
    <s v="APAC"/>
    <s v="Southeast Asia"/>
    <s v="OFF-SU-10000411"/>
    <x v="0"/>
    <s v="Supplies"/>
    <s v="Stiletto Box Cutter, Easy Grip"/>
    <n v="103.37249999999999"/>
    <n v="5"/>
    <n v="0.45"/>
    <n v="-28.327499999999986"/>
    <n v="24.57"/>
    <s v="Critical"/>
  </r>
  <r>
    <n v="26769"/>
    <s v="ID-2014-60665"/>
    <d v="2016-08-13T00:00:00"/>
    <d v="2016-08-18T00:00:00"/>
    <s v="Standard Class"/>
    <s v="LC-16960"/>
    <s v="Lindsay Castell"/>
    <x v="0"/>
    <x v="0"/>
    <x v="0"/>
    <x v="0"/>
    <m/>
    <s v="APAC"/>
    <s v="Southeast Asia"/>
    <s v="OFF-EN-10000139"/>
    <x v="0"/>
    <s v="Envelopes"/>
    <s v="Kraft Interoffice Envelope, Set of 50"/>
    <n v="103.22400000000002"/>
    <n v="4"/>
    <n v="0.45"/>
    <n v="-47.016000000000005"/>
    <n v="15.12"/>
    <s v="High"/>
  </r>
  <r>
    <n v="27408"/>
    <s v="IN-2011-77885"/>
    <d v="2013-08-01T00:00:00"/>
    <d v="2013-08-06T00:00:00"/>
    <s v="Standard Class"/>
    <s v="JF-15565"/>
    <s v="Jill Fjeld"/>
    <x v="2"/>
    <x v="0"/>
    <x v="0"/>
    <x v="0"/>
    <m/>
    <s v="APAC"/>
    <s v="Southeast Asia"/>
    <s v="TEC-AC-10003734"/>
    <x v="1"/>
    <s v="Accessories"/>
    <s v="Memorex Numeric Keypad, Erganomic"/>
    <n v="102.76200000000001"/>
    <n v="4"/>
    <n v="0.45"/>
    <n v="1.8419999999999987"/>
    <n v="7.42"/>
    <s v="Medium"/>
  </r>
  <r>
    <n v="22513"/>
    <s v="ID-2014-42717"/>
    <d v="2016-12-23T00:00:00"/>
    <d v="2016-12-27T00:00:00"/>
    <s v="Standard Class"/>
    <s v="CL-12700"/>
    <s v="Craig Leslie"/>
    <x v="0"/>
    <x v="0"/>
    <x v="0"/>
    <x v="0"/>
    <m/>
    <s v="APAC"/>
    <s v="Southeast Asia"/>
    <s v="OFF-BI-10003367"/>
    <x v="0"/>
    <s v="Binders"/>
    <s v="Wilson Jones Binder, Recycled"/>
    <n v="102.357"/>
    <n v="9"/>
    <n v="0.15000000000000002"/>
    <n v="34.856999999999999"/>
    <n v="4.55"/>
    <s v="Medium"/>
  </r>
  <r>
    <n v="25194"/>
    <s v="IN-2014-48121"/>
    <d v="2016-02-18T00:00:00"/>
    <d v="2016-02-20T00:00:00"/>
    <s v="First Class"/>
    <s v="CM-12160"/>
    <s v="Charles McCrossin"/>
    <x v="2"/>
    <x v="8"/>
    <x v="4"/>
    <x v="0"/>
    <m/>
    <s v="APAC"/>
    <s v="Southeast Asia"/>
    <s v="TEC-PH-10000497"/>
    <x v="1"/>
    <s v="Phones"/>
    <s v="Nokia Office Telephone, Cordless"/>
    <n v="101.97"/>
    <n v="2"/>
    <n v="0.25"/>
    <n v="13.589999999999996"/>
    <n v="15.99"/>
    <s v="High"/>
  </r>
  <r>
    <n v="26484"/>
    <s v="IN-2013-27541"/>
    <d v="2015-06-07T00:00:00"/>
    <d v="2015-06-08T00:00:00"/>
    <s v="First Class"/>
    <s v="ND-18460"/>
    <s v="Neil Ducich"/>
    <x v="1"/>
    <x v="0"/>
    <x v="0"/>
    <x v="0"/>
    <m/>
    <s v="APAC"/>
    <s v="Southeast Asia"/>
    <s v="OFF-AP-10000904"/>
    <x v="0"/>
    <s v="Appliances"/>
    <s v="Cuisinart Coffee Grinder, Silver"/>
    <n v="100.36799999999999"/>
    <n v="3"/>
    <n v="0.15000000000000002"/>
    <n v="8.2079999999999984"/>
    <n v="33.65"/>
    <s v="Critical"/>
  </r>
  <r>
    <n v="23583"/>
    <s v="ID-2011-74091"/>
    <d v="2013-04-25T00:00:00"/>
    <d v="2013-05-01T00:00:00"/>
    <s v="Standard Class"/>
    <s v="IG-15085"/>
    <s v="Ivan Gibson"/>
    <x v="2"/>
    <x v="4"/>
    <x v="2"/>
    <x v="0"/>
    <m/>
    <s v="APAC"/>
    <s v="Southeast Asia"/>
    <s v="TEC-AC-10001987"/>
    <x v="1"/>
    <s v="Accessories"/>
    <s v="Memorex Numeric Keypad, Bluetooth"/>
    <n v="99.924000000000007"/>
    <n v="4"/>
    <n v="0.45"/>
    <n v="-30.995999999999995"/>
    <n v="5.27"/>
    <s v="Medium"/>
  </r>
  <r>
    <n v="23549"/>
    <s v="IN-2012-29046"/>
    <d v="2014-08-23T00:00:00"/>
    <d v="2014-08-26T00:00:00"/>
    <s v="Second Class"/>
    <s v="NP-18685"/>
    <s v="Nora Pelletier"/>
    <x v="0"/>
    <x v="0"/>
    <x v="0"/>
    <x v="0"/>
    <m/>
    <s v="APAC"/>
    <s v="Southeast Asia"/>
    <s v="OFF-PA-10003938"/>
    <x v="0"/>
    <s v="Paper"/>
    <s v="Eaton Cards &amp; Envelopes, Premium"/>
    <n v="99.396000000000001"/>
    <n v="4"/>
    <n v="0.45"/>
    <n v="-41.603999999999999"/>
    <n v="12.08"/>
    <s v="High"/>
  </r>
  <r>
    <n v="28683"/>
    <s v="IN-2013-19736"/>
    <d v="2015-08-15T00:00:00"/>
    <d v="2015-08-17T00:00:00"/>
    <s v="Second Class"/>
    <s v="SZ-20035"/>
    <s v="Sam Zeldin"/>
    <x v="0"/>
    <x v="5"/>
    <x v="0"/>
    <x v="0"/>
    <m/>
    <s v="APAC"/>
    <s v="Southeast Asia"/>
    <s v="OFF-EN-10003632"/>
    <x v="0"/>
    <s v="Envelopes"/>
    <s v="Jiffy Mailers, Recycled"/>
    <n v="98.917500000000004"/>
    <n v="5"/>
    <n v="0.45"/>
    <n v="-54.082499999999989"/>
    <n v="9.3699999999999992"/>
    <s v="Medium"/>
  </r>
  <r>
    <n v="26692"/>
    <s v="ID-2014-35269"/>
    <d v="2016-01-08T00:00:00"/>
    <d v="2016-01-08T00:00:00"/>
    <s v="Same Day"/>
    <s v="JC-15340"/>
    <s v="Jasper Cacioppo"/>
    <x v="2"/>
    <x v="0"/>
    <x v="0"/>
    <x v="0"/>
    <m/>
    <s v="APAC"/>
    <s v="Southeast Asia"/>
    <s v="FUR-FU-10004704"/>
    <x v="2"/>
    <s v="Furnishings"/>
    <s v="Deflect-O Door Stop, Black"/>
    <n v="98.887500000000017"/>
    <n v="3"/>
    <n v="0.25"/>
    <n v="-2.2500000000007958E-2"/>
    <n v="18.809999999999999"/>
    <s v="Critical"/>
  </r>
  <r>
    <n v="23761"/>
    <s v="ID-2011-16453"/>
    <d v="2013-01-14T00:00:00"/>
    <d v="2013-01-21T00:00:00"/>
    <s v="Standard Class"/>
    <s v="MY-18295"/>
    <s v="Muhammed Yedwab"/>
    <x v="1"/>
    <x v="0"/>
    <x v="0"/>
    <x v="0"/>
    <m/>
    <s v="APAC"/>
    <s v="Southeast Asia"/>
    <s v="FUR-FU-10000944"/>
    <x v="2"/>
    <s v="Furnishings"/>
    <s v="Tenex Door Stop, Black"/>
    <n v="98.752500000000012"/>
    <n v="3"/>
    <n v="0.25"/>
    <n v="-23.737500000000004"/>
    <n v="9.7100000000000009"/>
    <s v="Low"/>
  </r>
  <r>
    <n v="22514"/>
    <s v="ID-2014-42717"/>
    <d v="2016-12-23T00:00:00"/>
    <d v="2016-12-27T00:00:00"/>
    <s v="Standard Class"/>
    <s v="CL-12700"/>
    <s v="Craig Leslie"/>
    <x v="0"/>
    <x v="0"/>
    <x v="0"/>
    <x v="0"/>
    <m/>
    <s v="APAC"/>
    <s v="Southeast Asia"/>
    <s v="OFF-EN-10004486"/>
    <x v="0"/>
    <s v="Envelopes"/>
    <s v="GlobeWeis Business Envelopes, Security-Tint"/>
    <n v="97.713000000000008"/>
    <n v="9"/>
    <n v="0.45"/>
    <n v="-60.507000000000005"/>
    <n v="9.61"/>
    <s v="Medium"/>
  </r>
  <r>
    <n v="20477"/>
    <s v="ID-2012-61722"/>
    <d v="2014-11-13T00:00:00"/>
    <d v="2014-11-16T00:00:00"/>
    <s v="First Class"/>
    <s v="TC-21145"/>
    <s v="Theresa Coyne"/>
    <x v="1"/>
    <x v="0"/>
    <x v="0"/>
    <x v="0"/>
    <m/>
    <s v="APAC"/>
    <s v="Southeast Asia"/>
    <s v="FUR-BO-10001342"/>
    <x v="2"/>
    <s v="Bookcases"/>
    <s v="Safco Corner Shelving, Metal"/>
    <n v="96.798000000000016"/>
    <n v="1"/>
    <n v="0.35"/>
    <n v="-52.122"/>
    <n v="11.21"/>
    <s v="Medium"/>
  </r>
  <r>
    <n v="21677"/>
    <s v="ID-2013-13625"/>
    <d v="2015-10-22T00:00:00"/>
    <d v="2015-10-28T00:00:00"/>
    <s v="Standard Class"/>
    <s v="MG-17680"/>
    <s v="Maureen Gastineau"/>
    <x v="0"/>
    <x v="0"/>
    <x v="0"/>
    <x v="0"/>
    <m/>
    <s v="APAC"/>
    <s v="Southeast Asia"/>
    <s v="OFF-SU-10004846"/>
    <x v="0"/>
    <s v="Supplies"/>
    <s v="Acme Box Cutter, Serrated"/>
    <n v="94.875"/>
    <n v="5"/>
    <n v="0.45"/>
    <n v="-29.325000000000003"/>
    <n v="10.81"/>
    <s v="Medium"/>
  </r>
  <r>
    <n v="21819"/>
    <s v="ID-2014-56059"/>
    <d v="2016-09-29T00:00:00"/>
    <d v="2016-10-02T00:00:00"/>
    <s v="Second Class"/>
    <s v="CM-12190"/>
    <s v="Charlotte Melton"/>
    <x v="2"/>
    <x v="15"/>
    <x v="0"/>
    <x v="0"/>
    <m/>
    <s v="APAC"/>
    <s v="Southeast Asia"/>
    <s v="FUR-FU-10002055"/>
    <x v="2"/>
    <s v="Furnishings"/>
    <s v="Eldon Light Bulb, Black"/>
    <n v="94.500000000000014"/>
    <n v="5"/>
    <n v="0.25"/>
    <n v="-21.450000000000003"/>
    <n v="17.89"/>
    <s v="High"/>
  </r>
  <r>
    <n v="27174"/>
    <s v="ID-2011-54834"/>
    <d v="2013-08-18T00:00:00"/>
    <d v="2013-08-22T00:00:00"/>
    <s v="Standard Class"/>
    <s v="VF-21715"/>
    <s v="Vicky Freymann"/>
    <x v="0"/>
    <x v="0"/>
    <x v="0"/>
    <x v="0"/>
    <m/>
    <s v="APAC"/>
    <s v="Southeast Asia"/>
    <s v="FUR-FU-10004074"/>
    <x v="2"/>
    <s v="Furnishings"/>
    <s v="Advantus Stacking Tray, Erganomic"/>
    <n v="93.712500000000006"/>
    <n v="5"/>
    <n v="0.25"/>
    <n v="-1.3875000000000064"/>
    <n v="6.37"/>
    <s v="Medium"/>
  </r>
  <r>
    <n v="21014"/>
    <s v="ID-2011-24454"/>
    <d v="2013-02-21T00:00:00"/>
    <d v="2013-02-21T00:00:00"/>
    <s v="Same Day"/>
    <s v="LM-17065"/>
    <s v="Liz MacKendrick"/>
    <x v="2"/>
    <x v="0"/>
    <x v="0"/>
    <x v="0"/>
    <m/>
    <s v="APAC"/>
    <s v="Southeast Asia"/>
    <s v="TEC-PH-10001805"/>
    <x v="1"/>
    <s v="Phones"/>
    <s v="Nokia Speaker Phone, Full Size"/>
    <n v="93.33"/>
    <n v="1"/>
    <n v="0.25"/>
    <n v="-7.4699999999999989"/>
    <n v="8.84"/>
    <s v="High"/>
  </r>
  <r>
    <n v="27735"/>
    <s v="IN-2012-64081"/>
    <d v="2014-10-31T00:00:00"/>
    <d v="2014-11-05T00:00:00"/>
    <s v="Standard Class"/>
    <s v="ZD-21925"/>
    <s v="Zuschuss Donatelli"/>
    <x v="2"/>
    <x v="0"/>
    <x v="0"/>
    <x v="0"/>
    <m/>
    <s v="APAC"/>
    <s v="Southeast Asia"/>
    <s v="FUR-FU-10003420"/>
    <x v="2"/>
    <s v="Furnishings"/>
    <s v="Deflect-O Door Stop, Durable"/>
    <n v="92.205000000000013"/>
    <n v="3"/>
    <n v="0.25"/>
    <n v="19.664999999999988"/>
    <n v="5.25"/>
    <s v="Medium"/>
  </r>
  <r>
    <n v="21450"/>
    <s v="IN-2012-67490"/>
    <d v="2014-11-08T00:00:00"/>
    <d v="2014-11-13T00:00:00"/>
    <s v="Standard Class"/>
    <s v="GM-14695"/>
    <s v="Greg Maxwell"/>
    <x v="1"/>
    <x v="13"/>
    <x v="0"/>
    <x v="0"/>
    <m/>
    <s v="APAC"/>
    <s v="Southeast Asia"/>
    <s v="TEC-MA-10003178"/>
    <x v="1"/>
    <s v="Machines"/>
    <s v="Okidata Receipt Printer, Wireless"/>
    <n v="92.182500000000005"/>
    <n v="1"/>
    <n v="0.25"/>
    <n v="13.4925"/>
    <n v="5.23"/>
    <s v="Medium"/>
  </r>
  <r>
    <n v="29831"/>
    <s v="ID-2014-52797"/>
    <d v="2016-03-04T00:00:00"/>
    <d v="2016-03-10T00:00:00"/>
    <s v="Standard Class"/>
    <s v="JF-15415"/>
    <s v="Jennifer Ferguson"/>
    <x v="2"/>
    <x v="0"/>
    <x v="0"/>
    <x v="0"/>
    <m/>
    <s v="APAC"/>
    <s v="Southeast Asia"/>
    <s v="OFF-ST-10004228"/>
    <x v="0"/>
    <s v="Storage"/>
    <s v="Tenex Shelving, Industrial"/>
    <n v="90.981000000000009"/>
    <n v="3"/>
    <n v="0.45"/>
    <n v="-23.229000000000006"/>
    <n v="18.23"/>
    <s v="Low"/>
  </r>
  <r>
    <n v="22739"/>
    <s v="ID-2011-20989"/>
    <d v="2013-04-26T00:00:00"/>
    <d v="2013-04-27T00:00:00"/>
    <s v="First Class"/>
    <s v="JM-15580"/>
    <s v="Jill Matthias"/>
    <x v="2"/>
    <x v="16"/>
    <x v="0"/>
    <x v="0"/>
    <m/>
    <s v="APAC"/>
    <s v="Southeast Asia"/>
    <s v="TEC-AC-10004566"/>
    <x v="1"/>
    <s v="Accessories"/>
    <s v="Belkin Mouse, USB"/>
    <n v="90.024000000000001"/>
    <n v="4"/>
    <n v="0.45"/>
    <n v="-18.095999999999989"/>
    <n v="13.55"/>
    <s v="High"/>
  </r>
  <r>
    <n v="23178"/>
    <s v="ID-2014-68099"/>
    <d v="2016-02-04T00:00:00"/>
    <d v="2016-02-07T00:00:00"/>
    <s v="First Class"/>
    <s v="MF-18250"/>
    <s v="Monica Federle"/>
    <x v="1"/>
    <x v="0"/>
    <x v="0"/>
    <x v="0"/>
    <m/>
    <s v="APAC"/>
    <s v="Southeast Asia"/>
    <s v="TEC-AC-10002482"/>
    <x v="1"/>
    <s v="Accessories"/>
    <s v="Logitech Mouse, Erganomic"/>
    <n v="89.39700000000002"/>
    <n v="6"/>
    <n v="0.45"/>
    <n v="-71.52300000000001"/>
    <n v="1.78"/>
    <s v="Medium"/>
  </r>
  <r>
    <n v="20478"/>
    <s v="ID-2012-61722"/>
    <d v="2014-11-13T00:00:00"/>
    <d v="2014-11-16T00:00:00"/>
    <s v="First Class"/>
    <s v="TC-21145"/>
    <s v="Theresa Coyne"/>
    <x v="1"/>
    <x v="0"/>
    <x v="0"/>
    <x v="0"/>
    <m/>
    <s v="APAC"/>
    <s v="Southeast Asia"/>
    <s v="FUR-CH-10003580"/>
    <x v="2"/>
    <s v="Chairs"/>
    <s v="Harbour Creations Bag Chairs, Black"/>
    <n v="88.784999999999997"/>
    <n v="2"/>
    <n v="0.25"/>
    <n v="28.365000000000002"/>
    <n v="7.66"/>
    <s v="Medium"/>
  </r>
  <r>
    <n v="23415"/>
    <s v="IN-2014-54547"/>
    <d v="2016-02-14T00:00:00"/>
    <d v="2016-02-19T00:00:00"/>
    <s v="Standard Class"/>
    <s v="TB-21400"/>
    <s v="Tom Boeckenhauer"/>
    <x v="2"/>
    <x v="0"/>
    <x v="0"/>
    <x v="0"/>
    <m/>
    <s v="APAC"/>
    <s v="Southeast Asia"/>
    <s v="OFF-AR-10000539"/>
    <x v="0"/>
    <s v="Art"/>
    <s v="Boston Markers, Easy-Erase"/>
    <n v="87.912000000000006"/>
    <n v="6"/>
    <n v="0.45"/>
    <n v="-60.768000000000015"/>
    <n v="4.55"/>
    <s v="Medium"/>
  </r>
  <r>
    <n v="28181"/>
    <s v="ID-2011-64837"/>
    <d v="2013-12-23T00:00:00"/>
    <d v="2013-12-27T00:00:00"/>
    <s v="Standard Class"/>
    <s v="SV-20935"/>
    <s v="Susan Vittorini"/>
    <x v="2"/>
    <x v="0"/>
    <x v="0"/>
    <x v="0"/>
    <m/>
    <s v="APAC"/>
    <s v="Southeast Asia"/>
    <s v="TEC-AC-10003640"/>
    <x v="1"/>
    <s v="Accessories"/>
    <s v="SanDisk Mouse, Programmable"/>
    <n v="87.582000000000008"/>
    <n v="4"/>
    <n v="0.45"/>
    <n v="-68.537999999999997"/>
    <n v="9.1"/>
    <s v="Medium"/>
  </r>
  <r>
    <n v="21056"/>
    <s v="IN-2013-67364"/>
    <d v="2015-12-25T00:00:00"/>
    <d v="2015-12-29T00:00:00"/>
    <s v="Standard Class"/>
    <s v="DK-13090"/>
    <s v="Dave Kipp"/>
    <x v="2"/>
    <x v="0"/>
    <x v="0"/>
    <x v="0"/>
    <m/>
    <s v="APAC"/>
    <s v="Southeast Asia"/>
    <s v="FUR-FU-10003214"/>
    <x v="2"/>
    <s v="Furnishings"/>
    <s v="Eldon Stacking Tray, Durable"/>
    <n v="85.59"/>
    <n v="4"/>
    <n v="0.25"/>
    <n v="2.1899999999999977"/>
    <n v="2.27"/>
    <s v="Medium"/>
  </r>
  <r>
    <n v="24275"/>
    <s v="IN-2014-28570"/>
    <d v="2016-12-04T00:00:00"/>
    <d v="2016-12-09T00:00:00"/>
    <s v="Standard Class"/>
    <s v="NR-18550"/>
    <s v="Nick Radford"/>
    <x v="2"/>
    <x v="0"/>
    <x v="0"/>
    <x v="0"/>
    <m/>
    <s v="APAC"/>
    <s v="Southeast Asia"/>
    <s v="OFF-AR-10003021"/>
    <x v="0"/>
    <s v="Art"/>
    <s v="BIC Sketch Pad, Water Color"/>
    <n v="85.536000000000016"/>
    <n v="3"/>
    <n v="0.45"/>
    <n v="1.4759999999999991"/>
    <n v="3.5"/>
    <s v="Medium"/>
  </r>
  <r>
    <n v="22557"/>
    <s v="ID-2014-62289"/>
    <d v="2016-08-03T00:00:00"/>
    <d v="2016-08-07T00:00:00"/>
    <s v="Standard Class"/>
    <s v="RB-19645"/>
    <s v="Robert Barroso"/>
    <x v="1"/>
    <x v="0"/>
    <x v="0"/>
    <x v="0"/>
    <m/>
    <s v="APAC"/>
    <s v="Southeast Asia"/>
    <s v="OFF-SU-10004696"/>
    <x v="0"/>
    <s v="Supplies"/>
    <s v="Acme Shears, Easy Grip"/>
    <n v="85.040999999999997"/>
    <n v="3"/>
    <n v="0.45"/>
    <n v="-54.189000000000007"/>
    <n v="4.07"/>
    <s v="Medium"/>
  </r>
  <r>
    <n v="26729"/>
    <s v="ID-2013-25742"/>
    <d v="2015-01-28T00:00:00"/>
    <d v="2015-01-30T00:00:00"/>
    <s v="First Class"/>
    <s v="SC-20695"/>
    <s v="Steve Chapman"/>
    <x v="1"/>
    <x v="0"/>
    <x v="0"/>
    <x v="0"/>
    <m/>
    <s v="APAC"/>
    <s v="Southeast Asia"/>
    <s v="OFF-EN-10001627"/>
    <x v="0"/>
    <s v="Envelopes"/>
    <s v="Cameo Interoffice Envelope, with clear poly window"/>
    <n v="84.100500000000025"/>
    <n v="3"/>
    <n v="0.45"/>
    <n v="-50.539500000000018"/>
    <n v="4.93"/>
    <s v="High"/>
  </r>
  <r>
    <n v="22029"/>
    <s v="ID-2011-72096"/>
    <d v="2013-04-01T00:00:00"/>
    <d v="2013-04-05T00:00:00"/>
    <s v="Standard Class"/>
    <s v="PA-19060"/>
    <s v="Pete Armstrong"/>
    <x v="0"/>
    <x v="0"/>
    <x v="0"/>
    <x v="0"/>
    <m/>
    <s v="APAC"/>
    <s v="Southeast Asia"/>
    <s v="OFF-BI-10004651"/>
    <x v="0"/>
    <s v="Binders"/>
    <s v="Cardinal Binding Machine, Clear"/>
    <n v="83.691000000000017"/>
    <n v="2"/>
    <n v="0.15000000000000002"/>
    <n v="30.470999999999997"/>
    <n v="17.47"/>
    <s v="High"/>
  </r>
  <r>
    <n v="29105"/>
    <s v="ID-2013-54631"/>
    <d v="2015-12-11T00:00:00"/>
    <d v="2015-12-18T00:00:00"/>
    <s v="Standard Class"/>
    <s v="VM-21685"/>
    <s v="Valerie Mitchum"/>
    <x v="0"/>
    <x v="0"/>
    <x v="0"/>
    <x v="0"/>
    <m/>
    <s v="APAC"/>
    <s v="Southeast Asia"/>
    <s v="OFF-AR-10004486"/>
    <x v="0"/>
    <s v="Art"/>
    <s v="Sanford Canvas, Blue"/>
    <n v="83.358000000000004"/>
    <n v="3"/>
    <n v="0.45"/>
    <n v="-28.872"/>
    <n v="5.34"/>
    <s v="Medium"/>
  </r>
  <r>
    <n v="29486"/>
    <s v="ID-2012-39595"/>
    <d v="2014-01-13T00:00:00"/>
    <d v="2014-01-17T00:00:00"/>
    <s v="Standard Class"/>
    <s v="TH-21115"/>
    <s v="Thea Hudgings"/>
    <x v="1"/>
    <x v="0"/>
    <x v="0"/>
    <x v="0"/>
    <m/>
    <s v="APAC"/>
    <s v="Southeast Asia"/>
    <s v="OFF-EN-10002924"/>
    <x v="0"/>
    <s v="Envelopes"/>
    <s v="GlobeWeis Interoffice Envelope, Security-Tint"/>
    <n v="82.863"/>
    <n v="3"/>
    <n v="0.45"/>
    <n v="-58.796999999999997"/>
    <n v="9.2100000000000009"/>
    <s v="High"/>
  </r>
  <r>
    <n v="23231"/>
    <s v="ID-2011-26974"/>
    <d v="2013-10-03T00:00:00"/>
    <d v="2013-10-05T00:00:00"/>
    <s v="First Class"/>
    <s v="SD-20485"/>
    <s v="Shirley Daniels"/>
    <x v="0"/>
    <x v="16"/>
    <x v="0"/>
    <x v="0"/>
    <m/>
    <s v="APAC"/>
    <s v="Southeast Asia"/>
    <s v="OFF-SU-10004401"/>
    <x v="0"/>
    <s v="Supplies"/>
    <s v="Acme Shears, High Speed"/>
    <n v="82.368000000000009"/>
    <n v="3"/>
    <n v="0.45"/>
    <n v="-15.012000000000008"/>
    <n v="30.65"/>
    <s v="Critical"/>
  </r>
  <r>
    <n v="29870"/>
    <s v="ID-2014-18644"/>
    <d v="2016-08-18T00:00:00"/>
    <d v="2016-08-22T00:00:00"/>
    <s v="Standard Class"/>
    <s v="HM-14980"/>
    <s v="Henry MacAllister"/>
    <x v="2"/>
    <x v="16"/>
    <x v="0"/>
    <x v="0"/>
    <m/>
    <s v="APAC"/>
    <s v="Southeast Asia"/>
    <s v="OFF-PA-10004268"/>
    <x v="0"/>
    <s v="Paper"/>
    <s v="SanDisk Note Cards, 8.5 x 11"/>
    <n v="81.757500000000007"/>
    <n v="5"/>
    <n v="0.45"/>
    <n v="-56.542499999999997"/>
    <n v="2.17"/>
    <s v="Medium"/>
  </r>
  <r>
    <n v="21678"/>
    <s v="ID-2013-13625"/>
    <d v="2015-10-22T00:00:00"/>
    <d v="2015-10-28T00:00:00"/>
    <s v="Standard Class"/>
    <s v="MG-17680"/>
    <s v="Maureen Gastineau"/>
    <x v="0"/>
    <x v="0"/>
    <x v="0"/>
    <x v="0"/>
    <m/>
    <s v="APAC"/>
    <s v="Southeast Asia"/>
    <s v="OFF-SU-10000738"/>
    <x v="0"/>
    <s v="Supplies"/>
    <s v="Acme Shears, Steel"/>
    <n v="81.378000000000014"/>
    <n v="3"/>
    <n v="0.45"/>
    <n v="-32.562000000000012"/>
    <n v="5.26"/>
    <s v="Medium"/>
  </r>
  <r>
    <n v="29357"/>
    <s v="ID-2014-77703"/>
    <d v="2016-11-14T00:00:00"/>
    <d v="2016-11-18T00:00:00"/>
    <s v="Standard Class"/>
    <s v="CC-12430"/>
    <s v="Chuck Clark"/>
    <x v="0"/>
    <x v="4"/>
    <x v="2"/>
    <x v="0"/>
    <m/>
    <s v="APAC"/>
    <s v="Southeast Asia"/>
    <s v="OFF-EN-10004462"/>
    <x v="0"/>
    <s v="Envelopes"/>
    <s v="Ames Peel and Seal, Security-Tint"/>
    <n v="81.1965"/>
    <n v="7"/>
    <n v="0.45"/>
    <n v="-38.50350000000001"/>
    <n v="6.07"/>
    <s v="Medium"/>
  </r>
  <r>
    <n v="22395"/>
    <s v="ID-2013-60959"/>
    <d v="2015-11-11T00:00:00"/>
    <d v="2015-11-16T00:00:00"/>
    <s v="Second Class"/>
    <s v="JM-15580"/>
    <s v="Jill Matthias"/>
    <x v="2"/>
    <x v="0"/>
    <x v="0"/>
    <x v="0"/>
    <m/>
    <s v="APAC"/>
    <s v="Southeast Asia"/>
    <s v="TEC-AC-10002833"/>
    <x v="1"/>
    <s v="Accessories"/>
    <s v="Logitech Mouse, USB"/>
    <n v="81.097500000000025"/>
    <n v="5"/>
    <n v="0.45"/>
    <n v="-33.952500000000001"/>
    <n v="8.4600000000000009"/>
    <s v="Medium"/>
  </r>
  <r>
    <n v="29124"/>
    <s v="ID-2014-56220"/>
    <d v="2016-07-23T00:00:00"/>
    <d v="2016-07-29T00:00:00"/>
    <s v="Standard Class"/>
    <s v="BS-11380"/>
    <s v="Bill Stewart"/>
    <x v="1"/>
    <x v="7"/>
    <x v="3"/>
    <x v="0"/>
    <m/>
    <s v="APAC"/>
    <s v="Southeast Asia"/>
    <s v="OFF-ST-10003121"/>
    <x v="0"/>
    <s v="Storage"/>
    <s v="Rogers Box, Industrial"/>
    <n v="80.685000000000016"/>
    <n v="6"/>
    <n v="0.45"/>
    <n v="-45.495000000000019"/>
    <n v="5.15"/>
    <s v="Medium"/>
  </r>
  <r>
    <n v="21433"/>
    <s v="IN-2013-10489"/>
    <d v="2015-05-30T00:00:00"/>
    <d v="2015-06-01T00:00:00"/>
    <s v="First Class"/>
    <s v="GH-14485"/>
    <s v="Gene Hale"/>
    <x v="1"/>
    <x v="7"/>
    <x v="3"/>
    <x v="0"/>
    <m/>
    <s v="APAC"/>
    <s v="Southeast Asia"/>
    <s v="TEC-AC-10001735"/>
    <x v="1"/>
    <s v="Accessories"/>
    <s v="Logitech Mouse, Bluetooth"/>
    <n v="80.52000000000001"/>
    <n v="5"/>
    <n v="0.45"/>
    <n v="-45.480000000000011"/>
    <n v="13.84"/>
    <s v="Medium"/>
  </r>
  <r>
    <n v="21518"/>
    <s v="ID-2012-57193"/>
    <d v="2014-07-10T00:00:00"/>
    <d v="2014-07-15T00:00:00"/>
    <s v="Standard Class"/>
    <s v="TS-21160"/>
    <s v="Theresa Swint"/>
    <x v="1"/>
    <x v="13"/>
    <x v="0"/>
    <x v="0"/>
    <m/>
    <s v="APAC"/>
    <s v="Southeast Asia"/>
    <s v="OFF-SU-10002388"/>
    <x v="0"/>
    <s v="Supplies"/>
    <s v="Elite Shears, Easy Grip"/>
    <n v="80.239500000000021"/>
    <n v="3"/>
    <n v="0.45"/>
    <n v="-48.190500000000007"/>
    <n v="5.18"/>
    <s v="Medium"/>
  </r>
  <r>
    <n v="28149"/>
    <s v="ID-2013-68841"/>
    <d v="2015-09-03T00:00:00"/>
    <d v="2015-09-08T00:00:00"/>
    <s v="Standard Class"/>
    <s v="SM-20005"/>
    <s v="Sally Matthias"/>
    <x v="2"/>
    <x v="13"/>
    <x v="0"/>
    <x v="0"/>
    <m/>
    <s v="APAC"/>
    <s v="Southeast Asia"/>
    <s v="OFF-ST-10003159"/>
    <x v="0"/>
    <s v="Storage"/>
    <s v="Smead Trays, Single Width"/>
    <n v="80.041499999999999"/>
    <n v="3"/>
    <n v="0.45"/>
    <n v="-39.29849999999999"/>
    <n v="8.2899999999999991"/>
    <s v="High"/>
  </r>
  <r>
    <n v="23762"/>
    <s v="ID-2011-16453"/>
    <d v="2013-01-14T00:00:00"/>
    <d v="2013-01-21T00:00:00"/>
    <s v="Standard Class"/>
    <s v="MY-18295"/>
    <s v="Muhammed Yedwab"/>
    <x v="1"/>
    <x v="0"/>
    <x v="0"/>
    <x v="0"/>
    <m/>
    <s v="APAC"/>
    <s v="Southeast Asia"/>
    <s v="OFF-ST-10004015"/>
    <x v="0"/>
    <s v="Storage"/>
    <s v="Smead Trays, Blue"/>
    <n v="79.992000000000019"/>
    <n v="3"/>
    <n v="0.45"/>
    <n v="5.7419999999999902"/>
    <n v="9.43"/>
    <s v="Low"/>
  </r>
  <r>
    <n v="23412"/>
    <s v="IN-2014-54547"/>
    <d v="2016-02-14T00:00:00"/>
    <d v="2016-02-19T00:00:00"/>
    <s v="Standard Class"/>
    <s v="TB-21400"/>
    <s v="Tom Boeckenhauer"/>
    <x v="2"/>
    <x v="0"/>
    <x v="0"/>
    <x v="0"/>
    <m/>
    <s v="APAC"/>
    <s v="Southeast Asia"/>
    <s v="FUR-FU-10003052"/>
    <x v="2"/>
    <s v="Furnishings"/>
    <s v="Advantus Photo Frame, Duo Pack"/>
    <n v="79.56"/>
    <n v="2"/>
    <n v="0.25"/>
    <n v="13.739999999999998"/>
    <n v="5.0999999999999996"/>
    <s v="Medium"/>
  </r>
  <r>
    <n v="20774"/>
    <s v="ID-2012-41408"/>
    <d v="2014-01-12T00:00:00"/>
    <d v="2014-01-17T00:00:00"/>
    <s v="Standard Class"/>
    <s v="RD-19585"/>
    <s v="Rob Dowd"/>
    <x v="2"/>
    <x v="13"/>
    <x v="0"/>
    <x v="0"/>
    <m/>
    <s v="APAC"/>
    <s v="Southeast Asia"/>
    <s v="FUR-BO-10001753"/>
    <x v="2"/>
    <s v="Bookcases"/>
    <s v="Dania Stackable Bookrack, Traditional"/>
    <n v="78.68249999999999"/>
    <n v="1"/>
    <n v="0.35"/>
    <n v="10.882500000000007"/>
    <n v="4.1399999999999997"/>
    <s v="Medium"/>
  </r>
  <r>
    <n v="21519"/>
    <s v="ID-2012-57193"/>
    <d v="2014-07-10T00:00:00"/>
    <d v="2014-07-15T00:00:00"/>
    <s v="Standard Class"/>
    <s v="TS-21160"/>
    <s v="Theresa Swint"/>
    <x v="1"/>
    <x v="13"/>
    <x v="0"/>
    <x v="0"/>
    <m/>
    <s v="APAC"/>
    <s v="Southeast Asia"/>
    <s v="OFF-AR-10002109"/>
    <x v="0"/>
    <s v="Art"/>
    <s v="Binney &amp; Smith Sketch Pad, Fluorescent"/>
    <n v="78.507000000000005"/>
    <n v="3"/>
    <n v="0.45"/>
    <n v="-24.273000000000003"/>
    <n v="7.84"/>
    <s v="Medium"/>
  </r>
  <r>
    <n v="23807"/>
    <s v="IN-2014-56164"/>
    <d v="2016-10-10T00:00:00"/>
    <d v="2016-10-15T00:00:00"/>
    <s v="Standard Class"/>
    <s v="BS-11590"/>
    <s v="Brendan Sweed"/>
    <x v="1"/>
    <x v="14"/>
    <x v="1"/>
    <x v="0"/>
    <m/>
    <s v="APAC"/>
    <s v="Southeast Asia"/>
    <s v="FUR-FU-10004503"/>
    <x v="2"/>
    <s v="Furnishings"/>
    <s v="Tenex Photo Frame, Black"/>
    <n v="77.760000000000005"/>
    <n v="2"/>
    <n v="0.25"/>
    <n v="13.439999999999998"/>
    <n v="7.01"/>
    <s v="Medium"/>
  </r>
  <r>
    <n v="28174"/>
    <s v="IN-2011-79761"/>
    <d v="2013-01-11T00:00:00"/>
    <d v="2013-01-16T00:00:00"/>
    <s v="Standard Class"/>
    <s v="SC-20680"/>
    <s v="Steve Carroll"/>
    <x v="0"/>
    <x v="12"/>
    <x v="2"/>
    <x v="0"/>
    <m/>
    <s v="APAC"/>
    <s v="Southeast Asia"/>
    <s v="FUR-FU-10000256"/>
    <x v="2"/>
    <s v="Furnishings"/>
    <s v="Rubbermaid Photo Frame, Duo Pack"/>
    <n v="77.715000000000003"/>
    <n v="2"/>
    <n v="0.25"/>
    <n v="23.774999999999991"/>
    <n v="7.09"/>
    <s v="Medium"/>
  </r>
  <r>
    <n v="24734"/>
    <s v="IN-2012-40778"/>
    <d v="2014-07-11T00:00:00"/>
    <d v="2014-07-16T00:00:00"/>
    <s v="Standard Class"/>
    <s v="JL-15505"/>
    <s v="Jeremy Lonsdale"/>
    <x v="2"/>
    <x v="10"/>
    <x v="5"/>
    <x v="0"/>
    <m/>
    <s v="APAC"/>
    <s v="Southeast Asia"/>
    <s v="FUR-CH-10004049"/>
    <x v="2"/>
    <s v="Chairs"/>
    <s v="SAFCO Bag Chairs, Set of Two"/>
    <n v="77.534999999999997"/>
    <n v="2"/>
    <n v="0.25"/>
    <n v="14.414999999999999"/>
    <n v="8.09"/>
    <s v="Medium"/>
  </r>
  <r>
    <n v="21878"/>
    <s v="ID-2014-71683"/>
    <d v="2016-12-11T00:00:00"/>
    <d v="2016-12-15T00:00:00"/>
    <s v="Standard Class"/>
    <s v="NH-18610"/>
    <s v="Nicole Hansen"/>
    <x v="1"/>
    <x v="0"/>
    <x v="0"/>
    <x v="0"/>
    <m/>
    <s v="APAC"/>
    <s v="Southeast Asia"/>
    <s v="OFF-SU-10004848"/>
    <x v="0"/>
    <s v="Supplies"/>
    <s v="Kleencut Shears, High Speed"/>
    <n v="77.170500000000004"/>
    <n v="3"/>
    <n v="0.45"/>
    <n v="-47.749499999999998"/>
    <n v="6.63"/>
    <s v="Medium"/>
  </r>
  <r>
    <n v="20659"/>
    <s v="ID-2013-17097"/>
    <d v="2015-12-17T00:00:00"/>
    <d v="2015-12-22T00:00:00"/>
    <s v="Second Class"/>
    <s v="EP-13915"/>
    <s v="Emily Phan"/>
    <x v="2"/>
    <x v="0"/>
    <x v="0"/>
    <x v="0"/>
    <m/>
    <s v="APAC"/>
    <s v="Southeast Asia"/>
    <s v="OFF-EN-10004550"/>
    <x v="0"/>
    <s v="Envelopes"/>
    <s v="GlobeWeis Interoffice Envelope, Recycled"/>
    <n v="76.923000000000002"/>
    <n v="3"/>
    <n v="0.45"/>
    <n v="-18.206999999999994"/>
    <n v="9.06"/>
    <s v="Medium"/>
  </r>
  <r>
    <n v="27521"/>
    <s v="ID-2014-43725"/>
    <d v="2016-11-06T00:00:00"/>
    <d v="2016-11-10T00:00:00"/>
    <s v="Standard Class"/>
    <s v="AR-10405"/>
    <s v="Allen Rosenblatt"/>
    <x v="1"/>
    <x v="0"/>
    <x v="0"/>
    <x v="0"/>
    <m/>
    <s v="APAC"/>
    <s v="Southeast Asia"/>
    <s v="OFF-EN-10002985"/>
    <x v="0"/>
    <s v="Envelopes"/>
    <s v="Cameo Peel and Seal, Recycled"/>
    <n v="76.22999999999999"/>
    <n v="7"/>
    <n v="0.45"/>
    <n v="-45.779999999999987"/>
    <n v="6.75"/>
    <s v="High"/>
  </r>
  <r>
    <n v="21237"/>
    <s v="ID-2011-58250"/>
    <d v="2013-10-26T00:00:00"/>
    <d v="2013-11-01T00:00:00"/>
    <s v="Standard Class"/>
    <s v="TS-21160"/>
    <s v="Theresa Swint"/>
    <x v="1"/>
    <x v="0"/>
    <x v="0"/>
    <x v="0"/>
    <m/>
    <s v="APAC"/>
    <s v="Southeast Asia"/>
    <s v="FUR-FU-10003447"/>
    <x v="2"/>
    <s v="Furnishings"/>
    <s v="Eldon Light Bulb, Duo Pack"/>
    <n v="75.78"/>
    <n v="4"/>
    <n v="0.25"/>
    <n v="15.060000000000002"/>
    <n v="5.3"/>
    <s v="Medium"/>
  </r>
  <r>
    <n v="25008"/>
    <s v="ID-2012-45363"/>
    <d v="2014-06-29T00:00:00"/>
    <d v="2014-07-06T00:00:00"/>
    <s v="Standard Class"/>
    <s v="JG-15805"/>
    <s v="John Grady"/>
    <x v="1"/>
    <x v="13"/>
    <x v="0"/>
    <x v="0"/>
    <m/>
    <s v="APAC"/>
    <s v="Southeast Asia"/>
    <s v="OFF-BI-10001293"/>
    <x v="0"/>
    <s v="Binders"/>
    <s v="Acco 3-Hole Punch, Clear"/>
    <n v="75.429000000000016"/>
    <n v="3"/>
    <n v="0.15000000000000002"/>
    <n v="-12.501000000000003"/>
    <n v="5.71"/>
    <s v="Medium"/>
  </r>
  <r>
    <n v="22238"/>
    <s v="ID-2014-31125"/>
    <d v="2016-01-09T00:00:00"/>
    <d v="2016-01-14T00:00:00"/>
    <s v="Standard Class"/>
    <s v="BT-11305"/>
    <s v="Beth Thompson"/>
    <x v="0"/>
    <x v="0"/>
    <x v="0"/>
    <x v="0"/>
    <m/>
    <s v="APAC"/>
    <s v="Southeast Asia"/>
    <s v="FUR-FU-10002598"/>
    <x v="2"/>
    <s v="Furnishings"/>
    <s v="Tenex Photo Frame, Durable"/>
    <n v="73.304999999999993"/>
    <n v="2"/>
    <n v="0.25"/>
    <n v="16.605"/>
    <n v="5.95"/>
    <s v="Medium"/>
  </r>
  <r>
    <n v="24765"/>
    <s v="ID-2013-46427"/>
    <d v="2015-06-20T00:00:00"/>
    <d v="2015-06-24T00:00:00"/>
    <s v="Standard Class"/>
    <s v="NB-18580"/>
    <s v="Nicole Brennan"/>
    <x v="1"/>
    <x v="0"/>
    <x v="0"/>
    <x v="0"/>
    <m/>
    <s v="APAC"/>
    <s v="Southeast Asia"/>
    <s v="OFF-PA-10004673"/>
    <x v="0"/>
    <s v="Paper"/>
    <s v="Enermax Message Books, 8.5 x 11"/>
    <n v="73.260000000000005"/>
    <n v="5"/>
    <n v="0.45"/>
    <n v="-25.440000000000005"/>
    <n v="5.35"/>
    <s v="High"/>
  </r>
  <r>
    <n v="21655"/>
    <s v="IN-2012-58754"/>
    <d v="2014-07-26T00:00:00"/>
    <d v="2014-07-26T00:00:00"/>
    <s v="Same Day"/>
    <s v="SW-20755"/>
    <s v="Steven Ward"/>
    <x v="1"/>
    <x v="0"/>
    <x v="0"/>
    <x v="0"/>
    <m/>
    <s v="APAC"/>
    <s v="Southeast Asia"/>
    <s v="FUR-CH-10001756"/>
    <x v="2"/>
    <s v="Chairs"/>
    <s v="Novimex Bag Chairs, Adjustable"/>
    <n v="72.675000000000011"/>
    <n v="2"/>
    <n v="0.25"/>
    <n v="17.414999999999999"/>
    <n v="10.62"/>
    <s v="Medium"/>
  </r>
  <r>
    <n v="20501"/>
    <s v="IN-2012-25910"/>
    <d v="2014-06-20T00:00:00"/>
    <d v="2014-06-25T00:00:00"/>
    <s v="Standard Class"/>
    <s v="CC-12220"/>
    <s v="Chris Cortes"/>
    <x v="2"/>
    <x v="16"/>
    <x v="0"/>
    <x v="0"/>
    <m/>
    <s v="APAC"/>
    <s v="Southeast Asia"/>
    <s v="FUR-CH-10003512"/>
    <x v="2"/>
    <s v="Chairs"/>
    <s v="Novimex Bag Chairs, Set of Two"/>
    <n v="72.314999999999998"/>
    <n v="2"/>
    <n v="0.25"/>
    <n v="7.6949999999999967"/>
    <n v="3.73"/>
    <s v="Medium"/>
  </r>
  <r>
    <n v="24669"/>
    <s v="ID-2014-69233"/>
    <d v="2016-03-04T00:00:00"/>
    <d v="2016-03-09T00:00:00"/>
    <s v="Second Class"/>
    <s v="PO-19180"/>
    <s v="Philisse Overcash"/>
    <x v="0"/>
    <x v="1"/>
    <x v="1"/>
    <x v="0"/>
    <m/>
    <s v="APAC"/>
    <s v="Southeast Asia"/>
    <s v="OFF-ST-10002834"/>
    <x v="0"/>
    <s v="Storage"/>
    <s v="Smead File Cart, Single Width"/>
    <n v="70.884"/>
    <n v="1"/>
    <n v="0.45"/>
    <n v="-30.936000000000003"/>
    <n v="3.84"/>
    <s v="Medium"/>
  </r>
  <r>
    <n v="28978"/>
    <s v="ID-2011-69772"/>
    <d v="2013-05-20T00:00:00"/>
    <d v="2013-05-27T00:00:00"/>
    <s v="Standard Class"/>
    <s v="MA-17560"/>
    <s v="Matt Abelman"/>
    <x v="0"/>
    <x v="0"/>
    <x v="0"/>
    <x v="0"/>
    <m/>
    <s v="APAC"/>
    <s v="Southeast Asia"/>
    <s v="FUR-FU-10002928"/>
    <x v="2"/>
    <s v="Furnishings"/>
    <s v="Rubbermaid Clock, Durable"/>
    <n v="70.784999999999997"/>
    <n v="2"/>
    <n v="0.25"/>
    <n v="9.4050000000000011"/>
    <n v="3.4"/>
    <s v="Medium"/>
  </r>
  <r>
    <n v="23168"/>
    <s v="IN-2013-31167"/>
    <d v="2015-11-12T00:00:00"/>
    <d v="2015-11-16T00:00:00"/>
    <s v="Standard Class"/>
    <s v="DB-13210"/>
    <s v="Dean Braden"/>
    <x v="2"/>
    <x v="0"/>
    <x v="0"/>
    <x v="0"/>
    <m/>
    <s v="APAC"/>
    <s v="Southeast Asia"/>
    <s v="OFF-ST-10003306"/>
    <x v="0"/>
    <s v="Storage"/>
    <s v="Eldon File Cart, Single Width"/>
    <n v="70.603500000000011"/>
    <n v="1"/>
    <n v="0.45"/>
    <n v="-44.956500000000005"/>
    <n v="4.99"/>
    <s v="High"/>
  </r>
  <r>
    <n v="28751"/>
    <s v="ID-2014-33827"/>
    <d v="2016-11-14T00:00:00"/>
    <d v="2016-11-20T00:00:00"/>
    <s v="Standard Class"/>
    <s v="RP-19270"/>
    <s v="Rachel Payne"/>
    <x v="1"/>
    <x v="0"/>
    <x v="0"/>
    <x v="0"/>
    <m/>
    <s v="APAC"/>
    <s v="Southeast Asia"/>
    <s v="OFF-SU-10002566"/>
    <x v="0"/>
    <s v="Supplies"/>
    <s v="Stiletto Trimmer, Steel"/>
    <n v="69.547500000000014"/>
    <n v="3"/>
    <n v="0.45"/>
    <n v="-3.8025000000000091"/>
    <n v="3.59"/>
    <s v="Medium"/>
  </r>
  <r>
    <n v="26557"/>
    <s v="IN-2013-17958"/>
    <d v="2015-03-30T00:00:00"/>
    <d v="2015-04-06T00:00:00"/>
    <s v="Standard Class"/>
    <s v="RP-19855"/>
    <s v="Roy Phan"/>
    <x v="1"/>
    <x v="0"/>
    <x v="0"/>
    <x v="0"/>
    <m/>
    <s v="APAC"/>
    <s v="Southeast Asia"/>
    <s v="OFF-FA-10004705"/>
    <x v="0"/>
    <s v="Fasteners"/>
    <s v="OIC Thumb Tacks, 12 Pack"/>
    <n v="66.825000000000003"/>
    <n v="9"/>
    <n v="0.45"/>
    <n v="-42.525000000000006"/>
    <n v="2.74"/>
    <s v="Medium"/>
  </r>
  <r>
    <n v="24113"/>
    <s v="ID-2011-59293"/>
    <d v="2013-11-04T00:00:00"/>
    <d v="2013-11-06T00:00:00"/>
    <s v="Second Class"/>
    <s v="JD-16015"/>
    <s v="Joy Daniels"/>
    <x v="2"/>
    <x v="0"/>
    <x v="0"/>
    <x v="0"/>
    <m/>
    <s v="APAC"/>
    <s v="Southeast Asia"/>
    <s v="TEC-AC-10001639"/>
    <x v="1"/>
    <s v="Accessories"/>
    <s v="Belkin Flash Drive, Erganomic"/>
    <n v="65.587500000000006"/>
    <n v="3"/>
    <n v="0.45"/>
    <n v="-32.242499999999993"/>
    <n v="7.79"/>
    <s v="High"/>
  </r>
  <r>
    <n v="28653"/>
    <s v="ID-2011-78193"/>
    <d v="2013-08-25T00:00:00"/>
    <d v="2013-08-31T00:00:00"/>
    <s v="Standard Class"/>
    <s v="CS-12250"/>
    <s v="Chris Selesnick"/>
    <x v="1"/>
    <x v="0"/>
    <x v="0"/>
    <x v="0"/>
    <m/>
    <s v="APAC"/>
    <s v="Southeast Asia"/>
    <s v="FUR-FU-10000921"/>
    <x v="2"/>
    <s v="Furnishings"/>
    <s v="Advantus Door Stop, Erganomic"/>
    <n v="65.475000000000009"/>
    <n v="2"/>
    <n v="0.25"/>
    <n v="-14.025000000000002"/>
    <n v="4.1900000000000004"/>
    <s v="Medium"/>
  </r>
  <r>
    <n v="24388"/>
    <s v="ID-2014-15186"/>
    <d v="2016-04-16T00:00:00"/>
    <d v="2016-04-23T00:00:00"/>
    <s v="Standard Class"/>
    <s v="JK-15730"/>
    <s v="Joe Kamberova"/>
    <x v="2"/>
    <x v="0"/>
    <x v="0"/>
    <x v="0"/>
    <m/>
    <s v="APAC"/>
    <s v="Southeast Asia"/>
    <s v="OFF-EN-10000615"/>
    <x v="0"/>
    <s v="Envelopes"/>
    <s v="Jiffy Mailers, Security-Tint"/>
    <n v="65.290500000000009"/>
    <n v="3"/>
    <n v="0.45"/>
    <n v="-39.199500000000015"/>
    <n v="2.5499999999999998"/>
    <s v="Medium"/>
  </r>
  <r>
    <n v="29137"/>
    <s v="ID-2012-64879"/>
    <d v="2014-06-11T00:00:00"/>
    <d v="2014-06-15T00:00:00"/>
    <s v="Second Class"/>
    <s v="GM-14680"/>
    <s v="Greg Matthias"/>
    <x v="2"/>
    <x v="15"/>
    <x v="0"/>
    <x v="0"/>
    <m/>
    <s v="APAC"/>
    <s v="Southeast Asia"/>
    <s v="OFF-AR-10002897"/>
    <x v="0"/>
    <s v="Art"/>
    <s v="BIC Markers, Water Color"/>
    <n v="65.14200000000001"/>
    <n v="4"/>
    <n v="0.45"/>
    <n v="-10.698000000000008"/>
    <n v="3.49"/>
    <s v="High"/>
  </r>
  <r>
    <n v="27487"/>
    <s v="IN-2012-72978"/>
    <d v="2014-07-03T00:00:00"/>
    <d v="2014-07-07T00:00:00"/>
    <s v="Standard Class"/>
    <s v="DS-13030"/>
    <s v="Darrin Sayre"/>
    <x v="0"/>
    <x v="1"/>
    <x v="1"/>
    <x v="0"/>
    <m/>
    <s v="APAC"/>
    <s v="Southeast Asia"/>
    <s v="OFF-AR-10003448"/>
    <x v="0"/>
    <s v="Art"/>
    <s v="Boston Markers, Water Color"/>
    <n v="65.010000000000005"/>
    <n v="4"/>
    <n v="0.45"/>
    <n v="-53.19"/>
    <n v="4.55"/>
    <s v="High"/>
  </r>
  <r>
    <n v="23465"/>
    <s v="ID-2014-77927"/>
    <d v="2016-07-16T00:00:00"/>
    <d v="2016-07-18T00:00:00"/>
    <s v="Second Class"/>
    <s v="MN-17935"/>
    <s v="Michael Nguyen"/>
    <x v="2"/>
    <x v="16"/>
    <x v="0"/>
    <x v="0"/>
    <m/>
    <s v="APAC"/>
    <s v="Southeast Asia"/>
    <s v="OFF-EN-10000657"/>
    <x v="0"/>
    <s v="Envelopes"/>
    <s v="Jiffy Peel and Seal, with clear poly window"/>
    <n v="64.762499999999989"/>
    <n v="5"/>
    <n v="0.45"/>
    <n v="-14.137499999999996"/>
    <n v="11.59"/>
    <s v="High"/>
  </r>
  <r>
    <n v="24068"/>
    <s v="ID-2011-57326"/>
    <d v="2013-09-01T00:00:00"/>
    <d v="2013-09-04T00:00:00"/>
    <s v="First Class"/>
    <s v="BO-11425"/>
    <s v="Bobby Odegard"/>
    <x v="2"/>
    <x v="0"/>
    <x v="0"/>
    <x v="0"/>
    <m/>
    <s v="APAC"/>
    <s v="Southeast Asia"/>
    <s v="OFF-SU-10001308"/>
    <x v="0"/>
    <s v="Supplies"/>
    <s v="Fiskars Trimmer, Serrated"/>
    <n v="64.350000000000023"/>
    <n v="3"/>
    <n v="0.45"/>
    <n v="-32.760000000000012"/>
    <n v="3.1"/>
    <s v="High"/>
  </r>
  <r>
    <n v="28416"/>
    <s v="ID-2012-54596"/>
    <d v="2014-10-22T00:00:00"/>
    <d v="2014-10-24T00:00:00"/>
    <s v="Second Class"/>
    <s v="VD-21670"/>
    <s v="Valerie Dominguez"/>
    <x v="2"/>
    <x v="0"/>
    <x v="0"/>
    <x v="0"/>
    <m/>
    <s v="APAC"/>
    <s v="Southeast Asia"/>
    <s v="OFF-AR-10001508"/>
    <x v="0"/>
    <s v="Art"/>
    <s v="BIC Canvas, Water Color"/>
    <n v="62.568000000000005"/>
    <n v="2"/>
    <n v="0.45"/>
    <n v="-36.432000000000002"/>
    <n v="8.98"/>
    <s v="High"/>
  </r>
  <r>
    <n v="21681"/>
    <s v="ID-2013-13625"/>
    <d v="2015-10-22T00:00:00"/>
    <d v="2015-10-28T00:00:00"/>
    <s v="Standard Class"/>
    <s v="MG-17680"/>
    <s v="Maureen Gastineau"/>
    <x v="0"/>
    <x v="0"/>
    <x v="0"/>
    <x v="0"/>
    <m/>
    <s v="APAC"/>
    <s v="Southeast Asia"/>
    <s v="OFF-PA-10002974"/>
    <x v="0"/>
    <s v="Paper"/>
    <s v="Enermax Note Cards, 8.5 x 11"/>
    <n v="62.502000000000017"/>
    <n v="4"/>
    <n v="0.45"/>
    <n v="-29.658000000000005"/>
    <n v="1.5"/>
    <s v="Medium"/>
  </r>
  <r>
    <n v="23098"/>
    <s v="ID-2011-66412"/>
    <d v="2013-03-30T00:00:00"/>
    <d v="2013-04-03T00:00:00"/>
    <s v="Standard Class"/>
    <s v="AF-10870"/>
    <s v="Art Ferguson"/>
    <x v="2"/>
    <x v="0"/>
    <x v="0"/>
    <x v="0"/>
    <m/>
    <s v="APAC"/>
    <s v="Southeast Asia"/>
    <s v="OFF-FA-10001375"/>
    <x v="0"/>
    <s v="Fasteners"/>
    <s v="Accos Clamps, 12 Pack"/>
    <n v="62.073000000000008"/>
    <n v="6"/>
    <n v="0.45"/>
    <n v="-41.787000000000006"/>
    <n v="5.96"/>
    <s v="Medium"/>
  </r>
  <r>
    <n v="28569"/>
    <s v="ID-2014-54442"/>
    <d v="2016-12-31T00:00:00"/>
    <d v="2015-01-04T00:00:00"/>
    <s v="Standard Class"/>
    <s v="MY-18295"/>
    <s v="Muhammed Yedwab"/>
    <x v="1"/>
    <x v="0"/>
    <x v="0"/>
    <x v="0"/>
    <m/>
    <s v="APAC"/>
    <s v="Southeast Asia"/>
    <s v="TEC-AC-10002221"/>
    <x v="1"/>
    <s v="Accessories"/>
    <s v="Memorex Mouse, Bluetooth"/>
    <n v="61.974000000000011"/>
    <n v="4"/>
    <n v="0.45"/>
    <n v="-37.266000000000005"/>
    <n v="3.18"/>
    <s v="Medium"/>
  </r>
  <r>
    <n v="25320"/>
    <s v="ID-2011-59895"/>
    <d v="2013-12-29T00:00:00"/>
    <d v="2014-01-03T00:00:00"/>
    <s v="Standard Class"/>
    <s v="TT-21265"/>
    <s v="Tim Taslimi"/>
    <x v="1"/>
    <x v="0"/>
    <x v="0"/>
    <x v="0"/>
    <m/>
    <s v="APAC"/>
    <s v="Southeast Asia"/>
    <s v="OFF-PA-10004124"/>
    <x v="0"/>
    <s v="Paper"/>
    <s v="SanDisk Message Books, 8.5 x 11"/>
    <n v="61.512000000000008"/>
    <n v="4"/>
    <n v="0.45"/>
    <n v="-47.088000000000001"/>
    <n v="2.63"/>
    <s v="Medium"/>
  </r>
  <r>
    <n v="21502"/>
    <s v="ID-2011-53154"/>
    <d v="2013-08-24T00:00:00"/>
    <d v="2013-08-27T00:00:00"/>
    <s v="Second Class"/>
    <s v="DK-12985"/>
    <s v="Darren Koutras"/>
    <x v="2"/>
    <x v="0"/>
    <x v="0"/>
    <x v="0"/>
    <m/>
    <s v="APAC"/>
    <s v="Southeast Asia"/>
    <s v="OFF-AR-10000027"/>
    <x v="0"/>
    <s v="Art"/>
    <s v="Binney &amp; Smith Pencil Sharpener, Easy-Erase"/>
    <n v="61.446000000000005"/>
    <n v="4"/>
    <n v="0.45"/>
    <n v="-6.7139999999999986"/>
    <n v="11.6"/>
    <s v="Critical"/>
  </r>
  <r>
    <n v="20306"/>
    <s v="ID-2011-65117"/>
    <d v="2013-07-11T00:00:00"/>
    <d v="2013-07-15T00:00:00"/>
    <s v="Standard Class"/>
    <s v="SW-20245"/>
    <s v="Scot Wooten"/>
    <x v="2"/>
    <x v="0"/>
    <x v="0"/>
    <x v="0"/>
    <m/>
    <s v="APAC"/>
    <s v="Southeast Asia"/>
    <s v="OFF-SU-10004177"/>
    <x v="0"/>
    <s v="Supplies"/>
    <s v="Fiskars Box Cutter, Easy Grip"/>
    <n v="61.281000000000006"/>
    <n v="3"/>
    <n v="0.45"/>
    <n v="-25.659000000000002"/>
    <n v="7.2"/>
    <s v="High"/>
  </r>
  <r>
    <n v="22740"/>
    <s v="ID-2011-20989"/>
    <d v="2013-04-26T00:00:00"/>
    <d v="2013-04-27T00:00:00"/>
    <s v="First Class"/>
    <s v="JM-15580"/>
    <s v="Jill Matthias"/>
    <x v="2"/>
    <x v="16"/>
    <x v="0"/>
    <x v="0"/>
    <m/>
    <s v="APAC"/>
    <s v="Southeast Asia"/>
    <s v="TEC-AC-10000354"/>
    <x v="1"/>
    <s v="Accessories"/>
    <s v="Belkin Numeric Keypad, USB"/>
    <n v="61.116000000000007"/>
    <n v="2"/>
    <n v="0.45"/>
    <n v="-50.004000000000005"/>
    <n v="12.25"/>
    <s v="High"/>
  </r>
  <r>
    <n v="29904"/>
    <s v="ID-2012-79999"/>
    <d v="2014-07-31T00:00:00"/>
    <d v="2014-08-05T00:00:00"/>
    <s v="Standard Class"/>
    <s v="GH-14425"/>
    <s v="Gary Hwang"/>
    <x v="2"/>
    <x v="0"/>
    <x v="0"/>
    <x v="0"/>
    <m/>
    <s v="APAC"/>
    <s v="Southeast Asia"/>
    <s v="OFF-ST-10004228"/>
    <x v="0"/>
    <s v="Storage"/>
    <s v="Tenex Shelving, Industrial"/>
    <n v="60.654000000000003"/>
    <n v="2"/>
    <n v="0.45"/>
    <n v="-15.486000000000004"/>
    <n v="7.73"/>
    <s v="Medium"/>
  </r>
  <r>
    <n v="29130"/>
    <s v="ID-2012-22550"/>
    <d v="2014-11-13T00:00:00"/>
    <d v="2014-11-17T00:00:00"/>
    <s v="Standard Class"/>
    <s v="BD-11620"/>
    <s v="Brian DeCherney"/>
    <x v="2"/>
    <x v="0"/>
    <x v="0"/>
    <x v="0"/>
    <m/>
    <s v="APAC"/>
    <s v="Southeast Asia"/>
    <s v="OFF-LA-10000658"/>
    <x v="0"/>
    <s v="Labels"/>
    <s v="Avery Shipping Labels, 5000 Label Set"/>
    <n v="60.588000000000008"/>
    <n v="9"/>
    <n v="0.45"/>
    <n v="-10.152000000000001"/>
    <n v="7.58"/>
    <s v="High"/>
  </r>
  <r>
    <n v="22969"/>
    <s v="IN-2014-42437"/>
    <d v="2016-06-09T00:00:00"/>
    <d v="2016-06-13T00:00:00"/>
    <s v="Standard Class"/>
    <s v="JF-15415"/>
    <s v="Jennifer Ferguson"/>
    <x v="2"/>
    <x v="3"/>
    <x v="0"/>
    <x v="0"/>
    <m/>
    <s v="APAC"/>
    <s v="Southeast Asia"/>
    <s v="OFF-EN-10004938"/>
    <x v="0"/>
    <s v="Envelopes"/>
    <s v="Ames Business Envelopes, Set of 50"/>
    <n v="59.994"/>
    <n v="6"/>
    <n v="0.45"/>
    <n v="-3.3660000000000068"/>
    <n v="8.6199999999999992"/>
    <s v="High"/>
  </r>
  <r>
    <n v="27864"/>
    <s v="ID-2011-76884"/>
    <d v="2013-10-17T00:00:00"/>
    <d v="2013-10-23T00:00:00"/>
    <s v="Standard Class"/>
    <s v="HF-14995"/>
    <s v="Herbert Flentye"/>
    <x v="2"/>
    <x v="0"/>
    <x v="0"/>
    <x v="0"/>
    <m/>
    <s v="APAC"/>
    <s v="Southeast Asia"/>
    <s v="OFF-ST-10002161"/>
    <x v="0"/>
    <s v="Storage"/>
    <s v="Tenex Trays, Single Width"/>
    <n v="59.664000000000001"/>
    <n v="2"/>
    <n v="0.45"/>
    <n v="-3.2759999999999962"/>
    <n v="4.95"/>
    <s v="Medium"/>
  </r>
  <r>
    <n v="29534"/>
    <s v="ID-2014-74973"/>
    <d v="2016-10-29T00:00:00"/>
    <d v="2016-10-29T00:00:00"/>
    <s v="Same Day"/>
    <s v="MK-17905"/>
    <s v="Michael Kennedy"/>
    <x v="1"/>
    <x v="0"/>
    <x v="0"/>
    <x v="0"/>
    <m/>
    <s v="APAC"/>
    <s v="Southeast Asia"/>
    <s v="OFF-AR-10001266"/>
    <x v="0"/>
    <s v="Art"/>
    <s v="Boston Canvas, Blue"/>
    <n v="59.004000000000005"/>
    <n v="2"/>
    <n v="0.45"/>
    <n v="-7.5360000000000014"/>
    <n v="14.24"/>
    <s v="Critical"/>
  </r>
  <r>
    <n v="29825"/>
    <s v="IN-2011-39994"/>
    <d v="2013-06-27T00:00:00"/>
    <d v="2013-06-29T00:00:00"/>
    <s v="First Class"/>
    <s v="CR-12625"/>
    <s v="Corey Roper"/>
    <x v="0"/>
    <x v="0"/>
    <x v="0"/>
    <x v="0"/>
    <m/>
    <s v="APAC"/>
    <s v="Southeast Asia"/>
    <s v="OFF-EN-10001528"/>
    <x v="0"/>
    <s v="Envelopes"/>
    <s v="Kraft Business Envelopes, Recycled"/>
    <n v="58.674000000000007"/>
    <n v="7"/>
    <n v="0.45"/>
    <n v="-33.096000000000004"/>
    <n v="0.44"/>
    <s v="High"/>
  </r>
  <r>
    <n v="22777"/>
    <s v="ID-2013-40708"/>
    <d v="2015-10-17T00:00:00"/>
    <d v="2015-10-21T00:00:00"/>
    <s v="Standard Class"/>
    <s v="KS-16300"/>
    <s v="Karen Seio"/>
    <x v="1"/>
    <x v="0"/>
    <x v="0"/>
    <x v="0"/>
    <m/>
    <s v="APAC"/>
    <s v="Southeast Asia"/>
    <s v="OFF-AR-10000539"/>
    <x v="0"/>
    <s v="Art"/>
    <s v="Boston Markers, Easy-Erase"/>
    <n v="58.608000000000004"/>
    <n v="4"/>
    <n v="0.45"/>
    <n v="-40.512000000000008"/>
    <n v="4.43"/>
    <s v="Medium"/>
  </r>
  <r>
    <n v="22241"/>
    <s v="ID-2014-31125"/>
    <d v="2016-01-09T00:00:00"/>
    <d v="2016-01-14T00:00:00"/>
    <s v="Standard Class"/>
    <s v="BT-11305"/>
    <s v="Beth Thompson"/>
    <x v="0"/>
    <x v="0"/>
    <x v="0"/>
    <x v="0"/>
    <m/>
    <s v="APAC"/>
    <s v="Southeast Asia"/>
    <s v="OFF-AR-10000539"/>
    <x v="0"/>
    <s v="Art"/>
    <s v="Boston Markers, Easy-Erase"/>
    <n v="58.608000000000004"/>
    <n v="4"/>
    <n v="0.45"/>
    <n v="-40.512000000000008"/>
    <n v="3.26"/>
    <s v="Medium"/>
  </r>
  <r>
    <n v="25677"/>
    <s v="ID-2014-15480"/>
    <d v="2016-05-26T00:00:00"/>
    <d v="2016-05-30T00:00:00"/>
    <s v="Second Class"/>
    <s v="BP-11095"/>
    <s v="Bart Pistole"/>
    <x v="1"/>
    <x v="0"/>
    <x v="0"/>
    <x v="0"/>
    <m/>
    <s v="APAC"/>
    <s v="Southeast Asia"/>
    <s v="OFF-PA-10004337"/>
    <x v="0"/>
    <s v="Paper"/>
    <s v="Eaton Computer Printout Paper, Premium"/>
    <n v="58.41"/>
    <n v="4"/>
    <n v="0.45"/>
    <n v="2.0100000000000051"/>
    <n v="4.49"/>
    <s v="Medium"/>
  </r>
  <r>
    <n v="26965"/>
    <s v="ID-2014-46714"/>
    <d v="2016-09-12T00:00:00"/>
    <d v="2016-09-18T00:00:00"/>
    <s v="Standard Class"/>
    <s v="DD-13570"/>
    <s v="Dorothy Dickinson"/>
    <x v="2"/>
    <x v="1"/>
    <x v="1"/>
    <x v="0"/>
    <m/>
    <s v="APAC"/>
    <s v="Southeast Asia"/>
    <s v="OFF-LA-10004848"/>
    <x v="0"/>
    <s v="Labels"/>
    <s v="Avery Legal Exhibit Labels, 5000 Label Set"/>
    <n v="58.063500000000012"/>
    <n v="9"/>
    <n v="0.45"/>
    <n v="-2.1465000000000032"/>
    <n v="5.0199999999999996"/>
    <s v="Medium"/>
  </r>
  <r>
    <n v="22282"/>
    <s v="ID-2013-33477"/>
    <d v="2015-01-11T00:00:00"/>
    <d v="2015-01-15T00:00:00"/>
    <s v="Second Class"/>
    <s v="SS-20515"/>
    <s v="Shirley Schmidt"/>
    <x v="0"/>
    <x v="16"/>
    <x v="0"/>
    <x v="0"/>
    <m/>
    <s v="APAC"/>
    <s v="Southeast Asia"/>
    <s v="OFF-AP-10001670"/>
    <x v="0"/>
    <s v="Appliances"/>
    <s v="Hoover Coffee Grinder, White"/>
    <n v="56.890500000000003"/>
    <n v="1"/>
    <n v="0.15000000000000002"/>
    <n v="-7.3695000000000022"/>
    <n v="7.49"/>
    <s v="Medium"/>
  </r>
  <r>
    <n v="20649"/>
    <s v="ID-2014-43403"/>
    <d v="2016-07-17T00:00:00"/>
    <d v="2016-07-22T00:00:00"/>
    <s v="Standard Class"/>
    <s v="JW-15955"/>
    <s v="Joni Wasserman"/>
    <x v="2"/>
    <x v="2"/>
    <x v="0"/>
    <x v="0"/>
    <m/>
    <s v="APAC"/>
    <s v="Southeast Asia"/>
    <s v="OFF-LA-10002020"/>
    <x v="0"/>
    <s v="Labels"/>
    <s v="Novimex Color Coded Labels, 5000 Label Set"/>
    <n v="56.363999999999997"/>
    <n v="8"/>
    <n v="0.45"/>
    <n v="-22.596"/>
    <n v="2.09"/>
    <s v="Medium"/>
  </r>
  <r>
    <n v="28305"/>
    <s v="ID-2014-62744"/>
    <d v="2016-03-22T00:00:00"/>
    <d v="2016-03-24T00:00:00"/>
    <s v="Second Class"/>
    <s v="BD-11725"/>
    <s v="Bruce Degenhardt"/>
    <x v="2"/>
    <x v="2"/>
    <x v="0"/>
    <x v="0"/>
    <m/>
    <s v="APAC"/>
    <s v="Southeast Asia"/>
    <s v="OFF-EN-10001627"/>
    <x v="0"/>
    <s v="Envelopes"/>
    <s v="Cameo Interoffice Envelope, with clear poly window"/>
    <n v="56.067000000000014"/>
    <n v="2"/>
    <n v="0.45"/>
    <n v="-33.693000000000005"/>
    <n v="4.5999999999999996"/>
    <s v="High"/>
  </r>
  <r>
    <n v="29761"/>
    <s v="ID-2013-63570"/>
    <d v="2015-06-07T00:00:00"/>
    <d v="2015-06-12T00:00:00"/>
    <s v="Standard Class"/>
    <s v="TR-21325"/>
    <s v="Toby Ritter"/>
    <x v="2"/>
    <x v="0"/>
    <x v="0"/>
    <x v="0"/>
    <m/>
    <s v="APAC"/>
    <s v="Southeast Asia"/>
    <s v="OFF-AR-10004486"/>
    <x v="0"/>
    <s v="Art"/>
    <s v="Sanford Canvas, Blue"/>
    <n v="55.572000000000003"/>
    <n v="2"/>
    <n v="0.45"/>
    <n v="-19.247999999999998"/>
    <n v="6.35"/>
    <s v="Medium"/>
  </r>
  <r>
    <n v="26732"/>
    <s v="ID-2013-25742"/>
    <d v="2015-01-28T00:00:00"/>
    <d v="2015-01-30T00:00:00"/>
    <s v="First Class"/>
    <s v="SC-20695"/>
    <s v="Steve Chapman"/>
    <x v="1"/>
    <x v="0"/>
    <x v="0"/>
    <x v="0"/>
    <m/>
    <s v="APAC"/>
    <s v="Southeast Asia"/>
    <s v="OFF-EN-10002700"/>
    <x v="0"/>
    <s v="Envelopes"/>
    <s v="Kraft Interoffice Envelope, with clear poly window"/>
    <n v="55.506000000000007"/>
    <n v="2"/>
    <n v="0.45"/>
    <n v="-10.134"/>
    <n v="9.1999999999999993"/>
    <s v="High"/>
  </r>
  <r>
    <n v="27403"/>
    <s v="ID-2014-65831"/>
    <d v="2016-08-08T00:00:00"/>
    <d v="2016-08-13T00:00:00"/>
    <s v="Standard Class"/>
    <s v="NP-18685"/>
    <s v="Nora Pelletier"/>
    <x v="0"/>
    <x v="0"/>
    <x v="0"/>
    <x v="0"/>
    <m/>
    <s v="APAC"/>
    <s v="Southeast Asia"/>
    <s v="OFF-AP-10000653"/>
    <x v="0"/>
    <s v="Appliances"/>
    <s v="Cuisinart Blender, White"/>
    <n v="55.360499999999995"/>
    <n v="1"/>
    <n v="0.15000000000000002"/>
    <n v="-7.1895000000000007"/>
    <n v="4.74"/>
    <s v="High"/>
  </r>
  <r>
    <n v="24481"/>
    <s v="ID-2011-30642"/>
    <d v="2013-05-30T00:00:00"/>
    <d v="2013-06-03T00:00:00"/>
    <s v="Second Class"/>
    <s v="RF-19345"/>
    <s v="Randy Ferguson"/>
    <x v="1"/>
    <x v="0"/>
    <x v="0"/>
    <x v="0"/>
    <m/>
    <s v="APAC"/>
    <s v="Southeast Asia"/>
    <s v="OFF-FA-10000038"/>
    <x v="0"/>
    <s v="Fasteners"/>
    <s v="Stockwell Clamps, Assorted Sizes"/>
    <n v="55.044000000000011"/>
    <n v="6"/>
    <n v="0.45"/>
    <n v="-3.6000000000001364E-2"/>
    <n v="6.6"/>
    <s v="High"/>
  </r>
  <r>
    <n v="21220"/>
    <s v="ID-2012-61715"/>
    <d v="2014-05-21T00:00:00"/>
    <d v="2014-05-28T00:00:00"/>
    <s v="Standard Class"/>
    <s v="DK-12835"/>
    <s v="Damala Kotsonis"/>
    <x v="1"/>
    <x v="16"/>
    <x v="0"/>
    <x v="0"/>
    <m/>
    <s v="APAC"/>
    <s v="Southeast Asia"/>
    <s v="OFF-PA-10003416"/>
    <x v="0"/>
    <s v="Paper"/>
    <s v="Green Bar Parchment Paper, Recycled"/>
    <n v="54.747"/>
    <n v="6"/>
    <n v="0.45"/>
    <n v="-34.892999999999994"/>
    <n v="4.3499999999999996"/>
    <s v="Medium"/>
  </r>
  <r>
    <n v="29828"/>
    <s v="ID-2011-31699"/>
    <d v="2013-12-08T00:00:00"/>
    <d v="2013-12-12T00:00:00"/>
    <s v="Standard Class"/>
    <s v="PM-19135"/>
    <s v="Peter McVee"/>
    <x v="0"/>
    <x v="0"/>
    <x v="0"/>
    <x v="0"/>
    <m/>
    <s v="APAC"/>
    <s v="Southeast Asia"/>
    <s v="OFF-EN-10004977"/>
    <x v="0"/>
    <s v="Envelopes"/>
    <s v="Jiffy Manila Envelope, Recycled"/>
    <n v="54.582000000000001"/>
    <n v="4"/>
    <n v="0.45"/>
    <n v="-43.698"/>
    <n v="4.5999999999999996"/>
    <s v="Medium"/>
  </r>
  <r>
    <n v="23176"/>
    <s v="ID-2014-68099"/>
    <d v="2016-02-04T00:00:00"/>
    <d v="2016-02-07T00:00:00"/>
    <s v="First Class"/>
    <s v="MF-18250"/>
    <s v="Monica Federle"/>
    <x v="1"/>
    <x v="0"/>
    <x v="0"/>
    <x v="0"/>
    <m/>
    <s v="APAC"/>
    <s v="Southeast Asia"/>
    <s v="OFF-AR-10000681"/>
    <x v="0"/>
    <s v="Art"/>
    <s v="Binney &amp; Smith Sketch Pad, Water Color"/>
    <n v="54.45"/>
    <n v="2"/>
    <n v="0.45"/>
    <n v="-30.690000000000005"/>
    <n v="8.57"/>
    <s v="Medium"/>
  </r>
  <r>
    <n v="28838"/>
    <s v="ID-2014-37516"/>
    <d v="2016-12-01T00:00:00"/>
    <d v="2016-12-05T00:00:00"/>
    <s v="Standard Class"/>
    <s v="KB-16405"/>
    <s v="Katrina Bavinger"/>
    <x v="0"/>
    <x v="0"/>
    <x v="0"/>
    <x v="0"/>
    <m/>
    <s v="APAC"/>
    <s v="Southeast Asia"/>
    <s v="OFF-ST-10004608"/>
    <x v="0"/>
    <s v="Storage"/>
    <s v="Smead Shelving, Industrial"/>
    <n v="54.350999999999999"/>
    <n v="2"/>
    <n v="0.45"/>
    <n v="-34.629000000000005"/>
    <n v="2.48"/>
    <s v="Medium"/>
  </r>
  <r>
    <n v="22183"/>
    <s v="IN-2011-22928"/>
    <d v="2013-10-05T00:00:00"/>
    <d v="2013-10-08T00:00:00"/>
    <s v="First Class"/>
    <s v="CS-12400"/>
    <s v="Christopher Schild"/>
    <x v="0"/>
    <x v="0"/>
    <x v="0"/>
    <x v="0"/>
    <m/>
    <s v="APAC"/>
    <s v="Southeast Asia"/>
    <s v="OFF-BI-10003468"/>
    <x v="0"/>
    <s v="Binders"/>
    <s v="Wilson Jones Binder Covers, Durable"/>
    <n v="53.93249999999999"/>
    <n v="5"/>
    <n v="0.15000000000000002"/>
    <n v="15.082500000000001"/>
    <n v="10.86"/>
    <s v="Medium"/>
  </r>
  <r>
    <n v="27393"/>
    <s v="ID-2014-12428"/>
    <d v="2016-01-15T00:00:00"/>
    <d v="2016-01-19T00:00:00"/>
    <s v="Standard Class"/>
    <s v="EM-13825"/>
    <s v="Elizabeth Moffitt"/>
    <x v="1"/>
    <x v="0"/>
    <x v="0"/>
    <x v="0"/>
    <m/>
    <s v="APAC"/>
    <s v="Southeast Asia"/>
    <s v="OFF-AR-10002256"/>
    <x v="0"/>
    <s v="Art"/>
    <s v="BIC Sketch Pad, Easy-Erase"/>
    <n v="53.822999999999993"/>
    <n v="2"/>
    <n v="0.45"/>
    <n v="-28.436999999999991"/>
    <n v="4.92"/>
    <s v="Medium"/>
  </r>
  <r>
    <n v="22132"/>
    <s v="IN-2012-42983"/>
    <d v="2014-07-16T00:00:00"/>
    <d v="2014-07-20T00:00:00"/>
    <s v="Standard Class"/>
    <s v="MM-17920"/>
    <s v="Michael Moore"/>
    <x v="2"/>
    <x v="0"/>
    <x v="0"/>
    <x v="0"/>
    <m/>
    <s v="APAC"/>
    <s v="Southeast Asia"/>
    <s v="FUR-FU-10002928"/>
    <x v="2"/>
    <s v="Furnishings"/>
    <s v="Eldon Light Bulb, Erganomic"/>
    <n v="53.595000000000006"/>
    <n v="3"/>
    <n v="0.25"/>
    <n v="11.384999999999998"/>
    <n v="2.8"/>
    <s v="Medium"/>
  </r>
  <r>
    <n v="28840"/>
    <s v="ID-2014-37516"/>
    <d v="2016-12-01T00:00:00"/>
    <d v="2016-12-05T00:00:00"/>
    <s v="Standard Class"/>
    <s v="KB-16405"/>
    <s v="Katrina Bavinger"/>
    <x v="0"/>
    <x v="0"/>
    <x v="0"/>
    <x v="0"/>
    <m/>
    <s v="APAC"/>
    <s v="Southeast Asia"/>
    <s v="OFF-EN-10004473"/>
    <x v="0"/>
    <s v="Envelopes"/>
    <s v="Ames Interoffice Envelope, with clear poly window"/>
    <n v="53.526000000000003"/>
    <n v="2"/>
    <n v="0.45"/>
    <n v="-38.933999999999997"/>
    <n v="5.42"/>
    <s v="Medium"/>
  </r>
  <r>
    <n v="27856"/>
    <s v="ID-2013-20471"/>
    <d v="2015-01-09T00:00:00"/>
    <d v="2015-01-12T00:00:00"/>
    <s v="First Class"/>
    <s v="LF-17185"/>
    <s v="Luke Foster"/>
    <x v="2"/>
    <x v="7"/>
    <x v="3"/>
    <x v="0"/>
    <m/>
    <s v="APAC"/>
    <s v="Southeast Asia"/>
    <s v="OFF-EN-10004473"/>
    <x v="0"/>
    <s v="Envelopes"/>
    <s v="Ames Interoffice Envelope, with clear poly window"/>
    <n v="53.526000000000003"/>
    <n v="2"/>
    <n v="0.45"/>
    <n v="-38.933999999999997"/>
    <n v="2.87"/>
    <s v="Medium"/>
  </r>
  <r>
    <n v="30011"/>
    <s v="ID-2014-63864"/>
    <d v="2016-12-30T00:00:00"/>
    <d v="2015-01-03T00:00:00"/>
    <s v="Standard Class"/>
    <s v="RF-19735"/>
    <s v="Roland Fjeld"/>
    <x v="2"/>
    <x v="0"/>
    <x v="0"/>
    <x v="0"/>
    <m/>
    <s v="APAC"/>
    <s v="Southeast Asia"/>
    <s v="OFF-SU-10002388"/>
    <x v="0"/>
    <s v="Supplies"/>
    <s v="Elite Shears, Easy Grip"/>
    <n v="53.493000000000009"/>
    <n v="2"/>
    <n v="0.45"/>
    <n v="-32.127000000000002"/>
    <n v="2.15"/>
    <s v="Medium"/>
  </r>
  <r>
    <n v="26539"/>
    <s v="ID-2013-60637"/>
    <d v="2015-04-19T00:00:00"/>
    <d v="2015-04-23T00:00:00"/>
    <s v="Standard Class"/>
    <s v="BD-11320"/>
    <s v="Bill Donatelli"/>
    <x v="2"/>
    <x v="3"/>
    <x v="0"/>
    <x v="0"/>
    <m/>
    <s v="APAC"/>
    <s v="Southeast Asia"/>
    <s v="OFF-ST-10004583"/>
    <x v="0"/>
    <s v="Storage"/>
    <s v="Eldon Shelving, Single Width"/>
    <n v="53.295000000000002"/>
    <n v="2"/>
    <n v="0.45"/>
    <n v="-38.804999999999993"/>
    <n v="3.15"/>
    <s v="Medium"/>
  </r>
  <r>
    <n v="20930"/>
    <s v="IN-2014-49549"/>
    <d v="2016-09-27T00:00:00"/>
    <d v="2016-10-04T00:00:00"/>
    <s v="Standard Class"/>
    <s v="TS-21430"/>
    <s v="Tom Stivers"/>
    <x v="1"/>
    <x v="0"/>
    <x v="0"/>
    <x v="0"/>
    <m/>
    <s v="APAC"/>
    <s v="Southeast Asia"/>
    <s v="OFF-SU-10004497"/>
    <x v="0"/>
    <s v="Supplies"/>
    <s v="Elite Scissors, Serrated"/>
    <n v="52.882499999999993"/>
    <n v="5"/>
    <n v="0.45"/>
    <n v="-2.9174999999999969"/>
    <n v="2.58"/>
    <s v="Medium"/>
  </r>
  <r>
    <n v="29158"/>
    <s v="ID-2014-51754"/>
    <d v="2016-12-15T00:00:00"/>
    <d v="2016-12-19T00:00:00"/>
    <s v="Standard Class"/>
    <s v="MW-18235"/>
    <s v="Mitch Willingham"/>
    <x v="1"/>
    <x v="0"/>
    <x v="0"/>
    <x v="0"/>
    <m/>
    <s v="APAC"/>
    <s v="Southeast Asia"/>
    <s v="OFF-SU-10004077"/>
    <x v="0"/>
    <s v="Supplies"/>
    <s v="Acme Letter Opener, Easy Grip"/>
    <n v="52.519499999999994"/>
    <n v="3"/>
    <n v="0.45"/>
    <n v="-3.8205000000000027"/>
    <n v="2.98"/>
    <s v="Medium"/>
  </r>
  <r>
    <n v="28248"/>
    <s v="IN-2014-71004"/>
    <d v="2016-11-14T00:00:00"/>
    <d v="2016-11-19T00:00:00"/>
    <s v="Standard Class"/>
    <s v="RM-19750"/>
    <s v="Roland Murray"/>
    <x v="2"/>
    <x v="14"/>
    <x v="1"/>
    <x v="0"/>
    <m/>
    <s v="APAC"/>
    <s v="Southeast Asia"/>
    <s v="OFF-BI-10004986"/>
    <x v="0"/>
    <s v="Binders"/>
    <s v="Ibico 3-Hole Punch, Recycled"/>
    <n v="52.377000000000002"/>
    <n v="2"/>
    <n v="0.15000000000000002"/>
    <n v="19.677"/>
    <n v="3.83"/>
    <s v="Medium"/>
  </r>
  <r>
    <n v="27394"/>
    <s v="ID-2014-12428"/>
    <d v="2016-01-15T00:00:00"/>
    <d v="2016-01-19T00:00:00"/>
    <s v="Standard Class"/>
    <s v="EM-13825"/>
    <s v="Elizabeth Moffitt"/>
    <x v="1"/>
    <x v="0"/>
    <x v="0"/>
    <x v="0"/>
    <m/>
    <s v="APAC"/>
    <s v="Southeast Asia"/>
    <s v="OFF-ST-10003334"/>
    <x v="0"/>
    <s v="Storage"/>
    <s v="Smead Trays, Wire Frame"/>
    <n v="52.305"/>
    <n v="2"/>
    <n v="0.45"/>
    <n v="-25.695"/>
    <n v="4.3099999999999996"/>
    <s v="Medium"/>
  </r>
  <r>
    <n v="29858"/>
    <s v="ID-2013-44607"/>
    <d v="2015-09-13T00:00:00"/>
    <d v="2015-09-17T00:00:00"/>
    <s v="Standard Class"/>
    <s v="DJ-13420"/>
    <s v="Denny Joy"/>
    <x v="1"/>
    <x v="8"/>
    <x v="4"/>
    <x v="0"/>
    <m/>
    <s v="APAC"/>
    <s v="Southeast Asia"/>
    <s v="OFF-PA-10003878"/>
    <x v="0"/>
    <s v="Paper"/>
    <s v="Enermax Cards &amp; Envelopes, Premium"/>
    <n v="51.81"/>
    <n v="2"/>
    <n v="0.45"/>
    <n v="-17.91"/>
    <n v="9.7899999999999991"/>
    <s v="High"/>
  </r>
  <r>
    <n v="20309"/>
    <s v="ID-2011-65117"/>
    <d v="2013-07-11T00:00:00"/>
    <d v="2013-07-15T00:00:00"/>
    <s v="Standard Class"/>
    <s v="SW-20245"/>
    <s v="Scot Wooten"/>
    <x v="2"/>
    <x v="0"/>
    <x v="0"/>
    <x v="0"/>
    <m/>
    <s v="APAC"/>
    <s v="Southeast Asia"/>
    <s v="OFF-EN-10003463"/>
    <x v="0"/>
    <s v="Envelopes"/>
    <s v="Jiffy Peel and Seal, Recycled"/>
    <n v="51.727499999999999"/>
    <n v="5"/>
    <n v="0.45"/>
    <n v="-5.7224999999999966"/>
    <n v="3.59"/>
    <s v="High"/>
  </r>
  <r>
    <n v="27384"/>
    <s v="ID-2011-40953"/>
    <d v="2013-07-04T00:00:00"/>
    <d v="2013-07-07T00:00:00"/>
    <s v="First Class"/>
    <s v="AA-10315"/>
    <s v="Alex Avila"/>
    <x v="2"/>
    <x v="2"/>
    <x v="0"/>
    <x v="0"/>
    <m/>
    <s v="APAC"/>
    <s v="Southeast Asia"/>
    <s v="OFF-SU-10003723"/>
    <x v="0"/>
    <s v="Supplies"/>
    <s v="Elite Shears, High Speed"/>
    <n v="51.710999999999999"/>
    <n v="2"/>
    <n v="0.45"/>
    <n v="-23.528999999999996"/>
    <n v="1.77"/>
    <s v="High"/>
  </r>
  <r>
    <n v="29581"/>
    <s v="ID-2011-46483"/>
    <d v="2013-01-09T00:00:00"/>
    <d v="2013-01-13T00:00:00"/>
    <s v="Standard Class"/>
    <s v="SC-20050"/>
    <s v="Sample Company A"/>
    <x v="0"/>
    <x v="17"/>
    <x v="2"/>
    <x v="0"/>
    <m/>
    <s v="APAC"/>
    <s v="Southeast Asia"/>
    <s v="OFF-FA-10000577"/>
    <x v="0"/>
    <s v="Fasteners"/>
    <s v="Stockwell Push Pins, 12 Pack"/>
    <n v="51.628500000000003"/>
    <n v="7"/>
    <n v="0.45"/>
    <n v="4.5884999999999962"/>
    <n v="5.55"/>
    <s v="High"/>
  </r>
  <r>
    <n v="20776"/>
    <s v="ID-2012-41408"/>
    <d v="2014-01-12T00:00:00"/>
    <d v="2014-01-17T00:00:00"/>
    <s v="Standard Class"/>
    <s v="RD-19585"/>
    <s v="Rob Dowd"/>
    <x v="2"/>
    <x v="13"/>
    <x v="0"/>
    <x v="0"/>
    <m/>
    <s v="APAC"/>
    <s v="Southeast Asia"/>
    <s v="OFF-SU-10000932"/>
    <x v="0"/>
    <s v="Supplies"/>
    <s v="Elite Shears, Steel"/>
    <n v="51.051000000000002"/>
    <n v="2"/>
    <n v="0.45"/>
    <n v="-38.108999999999995"/>
    <n v="1.67"/>
    <s v="Medium"/>
  </r>
  <r>
    <n v="25605"/>
    <s v="ID-2011-30922"/>
    <d v="2013-11-28T00:00:00"/>
    <d v="2013-12-03T00:00:00"/>
    <s v="Standard Class"/>
    <s v="AG-10330"/>
    <s v="Alex Grayson"/>
    <x v="2"/>
    <x v="11"/>
    <x v="2"/>
    <x v="0"/>
    <m/>
    <s v="APAC"/>
    <s v="Southeast Asia"/>
    <s v="OFF-BI-10001286"/>
    <x v="0"/>
    <s v="Binders"/>
    <s v="Ibico Hole Reinforcements, Durable"/>
    <n v="50.515500000000003"/>
    <n v="7"/>
    <n v="0.15000000000000002"/>
    <n v="2.8454999999999995"/>
    <n v="0.22"/>
    <s v="Medium"/>
  </r>
  <r>
    <n v="25676"/>
    <s v="ID-2014-15480"/>
    <d v="2016-05-26T00:00:00"/>
    <d v="2016-05-30T00:00:00"/>
    <s v="Second Class"/>
    <s v="BP-11095"/>
    <s v="Bart Pistole"/>
    <x v="1"/>
    <x v="0"/>
    <x v="0"/>
    <x v="0"/>
    <m/>
    <s v="APAC"/>
    <s v="Southeast Asia"/>
    <s v="OFF-BI-10001293"/>
    <x v="0"/>
    <s v="Binders"/>
    <s v="Acco 3-Hole Punch, Clear"/>
    <n v="50.286000000000008"/>
    <n v="2"/>
    <n v="0.15000000000000002"/>
    <n v="-8.3340000000000032"/>
    <n v="4.6900000000000004"/>
    <s v="Medium"/>
  </r>
  <r>
    <n v="23546"/>
    <s v="IN-2012-29046"/>
    <d v="2014-08-23T00:00:00"/>
    <d v="2014-08-26T00:00:00"/>
    <s v="Second Class"/>
    <s v="NP-18685"/>
    <s v="Nora Pelletier"/>
    <x v="0"/>
    <x v="0"/>
    <x v="0"/>
    <x v="0"/>
    <m/>
    <s v="APAC"/>
    <s v="Southeast Asia"/>
    <s v="OFF-BI-10002329"/>
    <x v="0"/>
    <s v="Binders"/>
    <s v="Avery 3-Hole Punch, Durable"/>
    <n v="49.929000000000009"/>
    <n v="2"/>
    <n v="0.15000000000000002"/>
    <n v="20.528999999999993"/>
    <n v="10.43"/>
    <s v="High"/>
  </r>
  <r>
    <n v="22015"/>
    <s v="ID-2013-16306"/>
    <d v="2015-10-18T00:00:00"/>
    <d v="2015-10-23T00:00:00"/>
    <s v="Second Class"/>
    <s v="CS-11950"/>
    <s v="Carlos Soltero"/>
    <x v="2"/>
    <x v="4"/>
    <x v="2"/>
    <x v="0"/>
    <m/>
    <s v="APAC"/>
    <s v="Southeast Asia"/>
    <s v="OFF-SU-10004727"/>
    <x v="0"/>
    <s v="Supplies"/>
    <s v="Stiletto Letter Opener, Easy Grip"/>
    <n v="49.5"/>
    <n v="3"/>
    <n v="0.45"/>
    <n v="-3.6000000000000014"/>
    <n v="7.22"/>
    <s v="Medium"/>
  </r>
  <r>
    <n v="29131"/>
    <s v="ID-2012-22550"/>
    <d v="2014-11-13T00:00:00"/>
    <d v="2014-11-17T00:00:00"/>
    <s v="Standard Class"/>
    <s v="BD-11620"/>
    <s v="Brian DeCherney"/>
    <x v="2"/>
    <x v="0"/>
    <x v="0"/>
    <x v="0"/>
    <m/>
    <s v="APAC"/>
    <s v="Southeast Asia"/>
    <s v="FUR-CH-10001382"/>
    <x v="2"/>
    <s v="Chairs"/>
    <s v="Office Star Chairmat, Red"/>
    <n v="49.365000000000009"/>
    <n v="1"/>
    <n v="0.25"/>
    <n v="15.794999999999998"/>
    <n v="3.31"/>
    <s v="High"/>
  </r>
  <r>
    <n v="20783"/>
    <s v="ID-2014-69303"/>
    <d v="2016-12-30T00:00:00"/>
    <d v="2015-01-03T00:00:00"/>
    <s v="Standard Class"/>
    <s v="GM-14680"/>
    <s v="Greg Matthias"/>
    <x v="2"/>
    <x v="13"/>
    <x v="0"/>
    <x v="0"/>
    <m/>
    <s v="APAC"/>
    <s v="Southeast Asia"/>
    <s v="OFF-PA-10003731"/>
    <x v="0"/>
    <s v="Paper"/>
    <s v="Enermax Note Cards, Premium"/>
    <n v="49.351500000000001"/>
    <n v="3"/>
    <n v="0.45"/>
    <n v="-4.5585000000000022"/>
    <n v="9.23"/>
    <s v="High"/>
  </r>
  <r>
    <n v="27081"/>
    <s v="ID-2012-36725"/>
    <d v="2014-08-10T00:00:00"/>
    <d v="2014-08-11T00:00:00"/>
    <s v="First Class"/>
    <s v="EK-13795"/>
    <s v="Eileen Kiefer"/>
    <x v="0"/>
    <x v="15"/>
    <x v="0"/>
    <x v="0"/>
    <m/>
    <s v="APAC"/>
    <s v="Southeast Asia"/>
    <s v="OFF-PA-10004968"/>
    <x v="0"/>
    <s v="Paper"/>
    <s v="Enermax Computer Printout Paper, Multicolor"/>
    <n v="49.302000000000007"/>
    <n v="3"/>
    <n v="0.45"/>
    <n v="-18.82800000000001"/>
    <n v="0.03"/>
    <s v="Medium"/>
  </r>
  <r>
    <n v="23589"/>
    <s v="IN-2013-33995"/>
    <d v="2015-03-23T00:00:00"/>
    <d v="2015-03-25T00:00:00"/>
    <s v="First Class"/>
    <s v="AR-10540"/>
    <s v="Andy Reiter"/>
    <x v="2"/>
    <x v="0"/>
    <x v="0"/>
    <x v="0"/>
    <m/>
    <s v="APAC"/>
    <s v="Southeast Asia"/>
    <s v="OFF-ST-10001366"/>
    <x v="0"/>
    <s v="Storage"/>
    <s v="Rogers Folders, Wire Frame"/>
    <n v="49.103999999999999"/>
    <n v="3"/>
    <n v="0.45"/>
    <n v="-34.865999999999993"/>
    <n v="18.11"/>
    <s v="Critical"/>
  </r>
  <r>
    <n v="26449"/>
    <s v="IN-2013-18980"/>
    <d v="2015-08-16T00:00:00"/>
    <d v="2015-08-23T00:00:00"/>
    <s v="Standard Class"/>
    <s v="SM-20905"/>
    <s v="Susan MacKendrick"/>
    <x v="2"/>
    <x v="0"/>
    <x v="0"/>
    <x v="0"/>
    <m/>
    <s v="APAC"/>
    <s v="Southeast Asia"/>
    <s v="OFF-BI-10001200"/>
    <x v="0"/>
    <s v="Binders"/>
    <s v="Avery Binder, Durable"/>
    <n v="48.959999999999994"/>
    <n v="4"/>
    <n v="0.15000000000000002"/>
    <n v="-4.6800000000000006"/>
    <n v="8.94"/>
    <s v="Low"/>
  </r>
  <r>
    <n v="21877"/>
    <s v="ID-2014-71683"/>
    <d v="2016-12-11T00:00:00"/>
    <d v="2016-12-15T00:00:00"/>
    <s v="Standard Class"/>
    <s v="NH-18610"/>
    <s v="Nicole Hansen"/>
    <x v="1"/>
    <x v="0"/>
    <x v="0"/>
    <x v="0"/>
    <m/>
    <s v="APAC"/>
    <s v="Southeast Asia"/>
    <s v="OFF-SU-10001066"/>
    <x v="0"/>
    <s v="Supplies"/>
    <s v="Acme Letter Opener, Steel"/>
    <n v="48.856500000000011"/>
    <n v="3"/>
    <n v="0.45"/>
    <n v="-32.053500000000007"/>
    <n v="2.87"/>
    <s v="Medium"/>
  </r>
  <r>
    <n v="22703"/>
    <s v="IN-2014-21619"/>
    <d v="2016-01-22T00:00:00"/>
    <d v="2016-01-27T00:00:00"/>
    <s v="Standard Class"/>
    <s v="CM-12445"/>
    <s v="Chuck Magee"/>
    <x v="2"/>
    <x v="0"/>
    <x v="0"/>
    <x v="0"/>
    <m/>
    <s v="APAC"/>
    <s v="Southeast Asia"/>
    <s v="OFF-BI-10004454"/>
    <x v="0"/>
    <s v="Binders"/>
    <s v="Cardinal Binder Covers, Clear"/>
    <n v="48.704999999999998"/>
    <n v="5"/>
    <n v="0.15000000000000002"/>
    <n v="16.604999999999997"/>
    <n v="4.88"/>
    <s v="Medium"/>
  </r>
  <r>
    <n v="29009"/>
    <s v="ID-2014-60112"/>
    <d v="2016-12-10T00:00:00"/>
    <d v="2016-12-14T00:00:00"/>
    <s v="Standard Class"/>
    <s v="PC-19000"/>
    <s v="Pauline Chand"/>
    <x v="0"/>
    <x v="0"/>
    <x v="0"/>
    <x v="0"/>
    <m/>
    <s v="APAC"/>
    <s v="Southeast Asia"/>
    <s v="OFF-FA-10001309"/>
    <x v="0"/>
    <s v="Fasteners"/>
    <s v="Stockwell Thumb Tacks, 12 Pack"/>
    <n v="48.394500000000001"/>
    <n v="7"/>
    <n v="0.45"/>
    <n v="-23.005499999999994"/>
    <n v="3.98"/>
    <s v="Medium"/>
  </r>
  <r>
    <n v="29703"/>
    <s v="IN-2014-34534"/>
    <d v="2016-06-18T00:00:00"/>
    <d v="2016-06-20T00:00:00"/>
    <s v="Second Class"/>
    <s v="SC-20770"/>
    <s v="Stewart Carmichael"/>
    <x v="1"/>
    <x v="0"/>
    <x v="0"/>
    <x v="0"/>
    <m/>
    <s v="APAC"/>
    <s v="Southeast Asia"/>
    <s v="OFF-BI-10000089"/>
    <x v="0"/>
    <s v="Binders"/>
    <s v="Wilson Jones 3-Hole Punch, Recycled"/>
    <n v="48.195"/>
    <n v="2"/>
    <n v="0.15000000000000002"/>
    <n v="19.274999999999999"/>
    <n v="8.98"/>
    <s v="High"/>
  </r>
  <r>
    <n v="24273"/>
    <s v="IN-2011-42542"/>
    <d v="2013-10-26T00:00:00"/>
    <d v="2013-10-30T00:00:00"/>
    <s v="Second Class"/>
    <s v="CD-11920"/>
    <s v="Carlos Daly"/>
    <x v="2"/>
    <x v="0"/>
    <x v="0"/>
    <x v="0"/>
    <m/>
    <s v="APAC"/>
    <s v="Southeast Asia"/>
    <s v="OFF-BI-10000089"/>
    <x v="0"/>
    <s v="Binders"/>
    <s v="Wilson Jones 3-Hole Punch, Recycled"/>
    <n v="48.195"/>
    <n v="2"/>
    <n v="0.15000000000000002"/>
    <n v="19.274999999999999"/>
    <n v="3.41"/>
    <s v="High"/>
  </r>
  <r>
    <n v="26842"/>
    <s v="ID-2011-77332"/>
    <d v="2013-03-15T00:00:00"/>
    <d v="2013-03-19T00:00:00"/>
    <s v="Standard Class"/>
    <s v="SA-20830"/>
    <s v="Sue Ann Reed"/>
    <x v="2"/>
    <x v="8"/>
    <x v="4"/>
    <x v="0"/>
    <m/>
    <s v="APAC"/>
    <s v="Southeast Asia"/>
    <s v="OFF-AR-10001529"/>
    <x v="0"/>
    <s v="Art"/>
    <s v="Sanford Pens, Fluorescent"/>
    <n v="47.585999999999999"/>
    <n v="7"/>
    <n v="0.45"/>
    <n v="-13.944000000000006"/>
    <n v="6.13"/>
    <s v="High"/>
  </r>
  <r>
    <n v="22242"/>
    <s v="ID-2014-31125"/>
    <d v="2016-01-09T00:00:00"/>
    <d v="2016-01-14T00:00:00"/>
    <s v="Standard Class"/>
    <s v="BT-11305"/>
    <s v="Beth Thompson"/>
    <x v="0"/>
    <x v="0"/>
    <x v="0"/>
    <x v="0"/>
    <m/>
    <s v="APAC"/>
    <s v="Southeast Asia"/>
    <s v="OFF-FA-10002175"/>
    <x v="0"/>
    <s v="Fasteners"/>
    <s v="OIC Push Pins, Assorted Sizes"/>
    <n v="47.585999999999999"/>
    <n v="7"/>
    <n v="0.45"/>
    <n v="1.5959999999999965"/>
    <n v="4.18"/>
    <s v="Medium"/>
  </r>
  <r>
    <n v="28728"/>
    <s v="IN-2014-19925"/>
    <d v="2016-10-09T00:00:00"/>
    <d v="2016-10-14T00:00:00"/>
    <s v="Standard Class"/>
    <s v="AF-10885"/>
    <s v="Art Foster"/>
    <x v="2"/>
    <x v="0"/>
    <x v="0"/>
    <x v="0"/>
    <m/>
    <s v="APAC"/>
    <s v="Southeast Asia"/>
    <s v="OFF-BI-10002907"/>
    <x v="0"/>
    <s v="Binders"/>
    <s v="Wilson Jones 3-Hole Punch, Economy"/>
    <n v="47.583000000000006"/>
    <n v="2"/>
    <n v="0.15000000000000002"/>
    <n v="-0.59700000000000131"/>
    <n v="2.52"/>
    <s v="Medium"/>
  </r>
  <r>
    <n v="23461"/>
    <s v="IN-2014-45559"/>
    <d v="2016-09-15T00:00:00"/>
    <d v="2016-09-20T00:00:00"/>
    <s v="Second Class"/>
    <s v="LW-17215"/>
    <s v="Luke Weiss"/>
    <x v="2"/>
    <x v="7"/>
    <x v="3"/>
    <x v="0"/>
    <m/>
    <s v="APAC"/>
    <s v="Southeast Asia"/>
    <s v="FUR-FU-10004182"/>
    <x v="2"/>
    <s v="Furnishings"/>
    <s v="Eldon Stacking Tray, Black"/>
    <n v="47.25"/>
    <n v="2"/>
    <n v="0.25"/>
    <n v="11.309999999999999"/>
    <n v="6.28"/>
    <s v="Medium"/>
  </r>
  <r>
    <n v="24282"/>
    <s v="ID-2012-24251"/>
    <d v="2014-06-06T00:00:00"/>
    <d v="2014-06-11T00:00:00"/>
    <s v="Standard Class"/>
    <s v="SC-20260"/>
    <s v="Scott Cohen"/>
    <x v="1"/>
    <x v="0"/>
    <x v="0"/>
    <x v="0"/>
    <m/>
    <s v="APAC"/>
    <s v="Southeast Asia"/>
    <s v="OFF-PA-10003115"/>
    <x v="0"/>
    <s v="Paper"/>
    <s v="Enermax Note Cards, Premium"/>
    <n v="47.025000000000006"/>
    <n v="3"/>
    <n v="0.45"/>
    <n v="-4.2750000000000057"/>
    <n v="5.62"/>
    <s v="Medium"/>
  </r>
  <r>
    <n v="27736"/>
    <s v="IN-2012-64081"/>
    <d v="2014-10-31T00:00:00"/>
    <d v="2014-11-05T00:00:00"/>
    <s v="Standard Class"/>
    <s v="ZD-21925"/>
    <s v="Zuschuss Donatelli"/>
    <x v="2"/>
    <x v="0"/>
    <x v="0"/>
    <x v="0"/>
    <m/>
    <s v="APAC"/>
    <s v="Southeast Asia"/>
    <s v="OFF-PA-10002974"/>
    <x v="0"/>
    <s v="Paper"/>
    <s v="Enermax Note Cards, 8.5 x 11"/>
    <n v="46.876500000000014"/>
    <n v="3"/>
    <n v="0.45"/>
    <n v="-22.243500000000004"/>
    <n v="2.79"/>
    <s v="Medium"/>
  </r>
  <r>
    <n v="24434"/>
    <s v="ID-2014-74238"/>
    <d v="2016-02-17T00:00:00"/>
    <d v="2016-02-18T00:00:00"/>
    <s v="First Class"/>
    <s v="KH-16510"/>
    <s v="Keith Herrera"/>
    <x v="2"/>
    <x v="8"/>
    <x v="4"/>
    <x v="0"/>
    <m/>
    <s v="APAC"/>
    <s v="Southeast Asia"/>
    <s v="OFF-BI-10001867"/>
    <x v="0"/>
    <s v="Binders"/>
    <s v="Acco Binder Covers, Recycled"/>
    <n v="46.512"/>
    <n v="4"/>
    <n v="0.15000000000000002"/>
    <n v="9.1919999999999984"/>
    <n v="11.27"/>
    <s v="High"/>
  </r>
  <r>
    <n v="28651"/>
    <s v="ID-2011-78193"/>
    <d v="2013-08-25T00:00:00"/>
    <d v="2013-08-31T00:00:00"/>
    <s v="Standard Class"/>
    <s v="CS-12250"/>
    <s v="Chris Selesnick"/>
    <x v="1"/>
    <x v="0"/>
    <x v="0"/>
    <x v="0"/>
    <m/>
    <s v="APAC"/>
    <s v="Southeast Asia"/>
    <s v="TEC-AC-10000284"/>
    <x v="1"/>
    <s v="Accessories"/>
    <s v="Belkin Flash Drive, Bluetooth"/>
    <n v="46.134"/>
    <n v="2"/>
    <n v="0.45"/>
    <n v="-13.446000000000005"/>
    <n v="3.45"/>
    <s v="Medium"/>
  </r>
  <r>
    <n v="28841"/>
    <s v="ID-2014-37516"/>
    <d v="2016-12-01T00:00:00"/>
    <d v="2016-12-05T00:00:00"/>
    <s v="Standard Class"/>
    <s v="KB-16405"/>
    <s v="Katrina Bavinger"/>
    <x v="0"/>
    <x v="0"/>
    <x v="0"/>
    <x v="0"/>
    <m/>
    <s v="APAC"/>
    <s v="Southeast Asia"/>
    <s v="OFF-SU-10002715"/>
    <x v="0"/>
    <s v="Supplies"/>
    <s v="Elite Trimmer, High Speed"/>
    <n v="45.837000000000003"/>
    <n v="2"/>
    <n v="0.45"/>
    <n v="-17.523"/>
    <n v="2.46"/>
    <s v="Medium"/>
  </r>
  <r>
    <n v="26784"/>
    <s v="ID-2014-33134"/>
    <d v="2016-04-24T00:00:00"/>
    <d v="2016-04-29T00:00:00"/>
    <s v="Standard Class"/>
    <s v="SV-20935"/>
    <s v="Susan Vittorini"/>
    <x v="2"/>
    <x v="0"/>
    <x v="0"/>
    <x v="0"/>
    <m/>
    <s v="APAC"/>
    <s v="Southeast Asia"/>
    <s v="OFF-BI-10003367"/>
    <x v="0"/>
    <s v="Binders"/>
    <s v="Wilson Jones Binder, Recycled"/>
    <n v="45.491999999999997"/>
    <n v="4"/>
    <n v="0.15000000000000002"/>
    <n v="15.491999999999999"/>
    <n v="3.46"/>
    <s v="Medium"/>
  </r>
  <r>
    <n v="29123"/>
    <s v="ID-2014-56220"/>
    <d v="2016-07-23T00:00:00"/>
    <d v="2016-07-29T00:00:00"/>
    <s v="Standard Class"/>
    <s v="BS-11380"/>
    <s v="Bill Stewart"/>
    <x v="1"/>
    <x v="7"/>
    <x v="3"/>
    <x v="0"/>
    <m/>
    <s v="APAC"/>
    <s v="Southeast Asia"/>
    <s v="OFF-BI-10000854"/>
    <x v="0"/>
    <s v="Binders"/>
    <s v="Acco Binder Covers, Economy"/>
    <n v="45.287999999999997"/>
    <n v="4"/>
    <n v="0.15000000000000002"/>
    <n v="-7.2000000000000064E-2"/>
    <n v="4.9800000000000004"/>
    <s v="Medium"/>
  </r>
  <r>
    <n v="29017"/>
    <s v="ID-2012-36221"/>
    <d v="2014-08-12T00:00:00"/>
    <d v="2014-08-17T00:00:00"/>
    <s v="Standard Class"/>
    <s v="CW-11905"/>
    <s v="Carl Weiss"/>
    <x v="0"/>
    <x v="0"/>
    <x v="0"/>
    <x v="0"/>
    <m/>
    <s v="APAC"/>
    <s v="Southeast Asia"/>
    <s v="OFF-SU-10004304"/>
    <x v="0"/>
    <s v="Supplies"/>
    <s v="Elite Letter Opener, Easy Grip"/>
    <n v="45.044999999999995"/>
    <n v="3"/>
    <n v="0.45"/>
    <n v="-16.424999999999997"/>
    <n v="3.46"/>
    <s v="Medium"/>
  </r>
  <r>
    <n v="27385"/>
    <s v="ID-2011-40953"/>
    <d v="2013-07-04T00:00:00"/>
    <d v="2013-07-07T00:00:00"/>
    <s v="First Class"/>
    <s v="AA-10315"/>
    <s v="Alex Avila"/>
    <x v="2"/>
    <x v="2"/>
    <x v="0"/>
    <x v="0"/>
    <m/>
    <s v="APAC"/>
    <s v="Southeast Asia"/>
    <s v="OFF-LA-10000425"/>
    <x v="0"/>
    <s v="Labels"/>
    <s v="Avery Shipping Labels, Alphabetical"/>
    <n v="44.929499999999997"/>
    <n v="7"/>
    <n v="0.45"/>
    <n v="-4.210499999999989"/>
    <n v="6.91"/>
    <s v="High"/>
  </r>
  <r>
    <n v="25544"/>
    <s v="ID-2011-41919"/>
    <d v="2013-11-15T00:00:00"/>
    <d v="2013-11-17T00:00:00"/>
    <s v="First Class"/>
    <s v="SH-20635"/>
    <s v="Stefanie Holloman"/>
    <x v="1"/>
    <x v="5"/>
    <x v="0"/>
    <x v="0"/>
    <m/>
    <s v="APAC"/>
    <s v="Southeast Asia"/>
    <s v="OFF-EN-10002258"/>
    <x v="0"/>
    <s v="Envelopes"/>
    <s v="Jiffy Mailers, with clear poly window"/>
    <n v="44.781000000000006"/>
    <n v="2"/>
    <n v="0.45"/>
    <n v="-4.8990000000000009"/>
    <n v="5.58"/>
    <s v="High"/>
  </r>
  <r>
    <n v="28652"/>
    <s v="ID-2011-78193"/>
    <d v="2013-08-25T00:00:00"/>
    <d v="2013-08-31T00:00:00"/>
    <s v="Standard Class"/>
    <s v="CS-12250"/>
    <s v="Chris Selesnick"/>
    <x v="1"/>
    <x v="0"/>
    <x v="0"/>
    <x v="0"/>
    <m/>
    <s v="APAC"/>
    <s v="Southeast Asia"/>
    <s v="OFF-PA-10002514"/>
    <x v="0"/>
    <s v="Paper"/>
    <s v="Xerox Memo Slips, Premium"/>
    <n v="44.649000000000008"/>
    <n v="6"/>
    <n v="0.45"/>
    <n v="-10.611000000000004"/>
    <n v="5.98"/>
    <s v="Medium"/>
  </r>
  <r>
    <n v="28182"/>
    <s v="ID-2011-64837"/>
    <d v="2013-12-23T00:00:00"/>
    <d v="2013-12-27T00:00:00"/>
    <s v="Standard Class"/>
    <s v="SV-20935"/>
    <s v="Susan Vittorini"/>
    <x v="2"/>
    <x v="0"/>
    <x v="0"/>
    <x v="0"/>
    <m/>
    <s v="APAC"/>
    <s v="Southeast Asia"/>
    <s v="OFF-SU-10002214"/>
    <x v="0"/>
    <s v="Supplies"/>
    <s v="Kleencut Letter Opener, Easy Grip"/>
    <n v="44.649000000000001"/>
    <n v="3"/>
    <n v="0.45"/>
    <n v="-0.89099999999999824"/>
    <n v="2.08"/>
    <s v="Medium"/>
  </r>
  <r>
    <n v="26309"/>
    <s v="IN-2013-40078"/>
    <d v="2015-12-10T00:00:00"/>
    <d v="2015-12-15T00:00:00"/>
    <s v="Standard Class"/>
    <s v="BE-11410"/>
    <s v="Bobby Elias"/>
    <x v="2"/>
    <x v="0"/>
    <x v="0"/>
    <x v="0"/>
    <m/>
    <s v="APAC"/>
    <s v="Southeast Asia"/>
    <s v="OFF-EN-10000776"/>
    <x v="0"/>
    <s v="Envelopes"/>
    <s v="Jiffy Peel and Seal, Set of 50"/>
    <n v="44.021999999999998"/>
    <n v="4"/>
    <n v="0.45"/>
    <n v="2.382000000000005"/>
    <n v="4.67"/>
    <s v="Medium"/>
  </r>
  <r>
    <n v="20773"/>
    <s v="ID-2012-41408"/>
    <d v="2014-01-12T00:00:00"/>
    <d v="2014-01-17T00:00:00"/>
    <s v="Standard Class"/>
    <s v="RD-19585"/>
    <s v="Rob Dowd"/>
    <x v="2"/>
    <x v="13"/>
    <x v="0"/>
    <x v="0"/>
    <m/>
    <s v="APAC"/>
    <s v="Southeast Asia"/>
    <s v="OFF-PA-10004673"/>
    <x v="0"/>
    <s v="Paper"/>
    <s v="Enermax Message Books, 8.5 x 11"/>
    <n v="43.956000000000003"/>
    <n v="3"/>
    <n v="0.45"/>
    <n v="-15.264000000000006"/>
    <n v="3.1"/>
    <s v="Medium"/>
  </r>
  <r>
    <n v="20479"/>
    <s v="ID-2012-61722"/>
    <d v="2014-11-13T00:00:00"/>
    <d v="2014-11-16T00:00:00"/>
    <s v="First Class"/>
    <s v="TC-21145"/>
    <s v="Theresa Coyne"/>
    <x v="1"/>
    <x v="0"/>
    <x v="0"/>
    <x v="0"/>
    <m/>
    <s v="APAC"/>
    <s v="Southeast Asia"/>
    <s v="OFF-LA-10003396"/>
    <x v="0"/>
    <s v="Labels"/>
    <s v="Avery Color Coded Labels, Laser Printer Compatible"/>
    <n v="43.856999999999999"/>
    <n v="6"/>
    <n v="0.45"/>
    <n v="-18.423000000000002"/>
    <n v="3.49"/>
    <s v="Medium"/>
  </r>
  <r>
    <n v="22778"/>
    <s v="ID-2013-40708"/>
    <d v="2015-10-17T00:00:00"/>
    <d v="2015-10-21T00:00:00"/>
    <s v="Standard Class"/>
    <s v="KS-16300"/>
    <s v="Karen Seio"/>
    <x v="1"/>
    <x v="0"/>
    <x v="0"/>
    <x v="0"/>
    <m/>
    <s v="APAC"/>
    <s v="Southeast Asia"/>
    <s v="OFF-BI-10001744"/>
    <x v="0"/>
    <s v="Binders"/>
    <s v="Acco Binding Machine, Economy"/>
    <n v="43.426500000000004"/>
    <n v="1"/>
    <n v="0.15000000000000002"/>
    <n v="-2.0535000000000014"/>
    <n v="2.84"/>
    <s v="Medium"/>
  </r>
  <r>
    <n v="20929"/>
    <s v="IN-2014-49549"/>
    <d v="2016-09-27T00:00:00"/>
    <d v="2016-10-04T00:00:00"/>
    <s v="Standard Class"/>
    <s v="TS-21430"/>
    <s v="Tom Stivers"/>
    <x v="1"/>
    <x v="0"/>
    <x v="0"/>
    <x v="0"/>
    <m/>
    <s v="APAC"/>
    <s v="Southeast Asia"/>
    <s v="OFF-EN-10000904"/>
    <x v="0"/>
    <s v="Envelopes"/>
    <s v="Ames Mailers, with clear poly window"/>
    <n v="43.329000000000001"/>
    <n v="2"/>
    <n v="0.45"/>
    <n v="-18.170999999999999"/>
    <n v="4.1399999999999997"/>
    <s v="Medium"/>
  </r>
  <r>
    <n v="28924"/>
    <s v="ID-2012-37005"/>
    <d v="2014-10-24T00:00:00"/>
    <d v="2014-10-30T00:00:00"/>
    <s v="Standard Class"/>
    <s v="SH-20395"/>
    <s v="Shahid Hopkins"/>
    <x v="2"/>
    <x v="0"/>
    <x v="0"/>
    <x v="0"/>
    <m/>
    <s v="APAC"/>
    <s v="Southeast Asia"/>
    <s v="OFF-AR-10000054"/>
    <x v="0"/>
    <s v="Art"/>
    <s v="Sanford Pencil Sharpener, Water Color"/>
    <n v="43.064999999999998"/>
    <n v="3"/>
    <n v="0.45"/>
    <n v="-7.0649999999999977"/>
    <n v="4.76"/>
    <s v="Medium"/>
  </r>
  <r>
    <n v="26254"/>
    <s v="ID-2012-61071"/>
    <d v="2014-08-22T00:00:00"/>
    <d v="2014-08-27T00:00:00"/>
    <s v="Standard Class"/>
    <s v="TG-21640"/>
    <s v="Trudy Glocke"/>
    <x v="2"/>
    <x v="0"/>
    <x v="0"/>
    <x v="0"/>
    <m/>
    <s v="APAC"/>
    <s v="Southeast Asia"/>
    <s v="OFF-FA-10004839"/>
    <x v="0"/>
    <s v="Fasteners"/>
    <s v="Accos Clamps, Metal"/>
    <n v="42.900000000000013"/>
    <n v="4"/>
    <n v="0.45"/>
    <n v="-10.980000000000011"/>
    <n v="3.5"/>
    <s v="Medium"/>
  </r>
  <r>
    <n v="23097"/>
    <s v="ID-2011-66412"/>
    <d v="2013-03-30T00:00:00"/>
    <d v="2013-04-03T00:00:00"/>
    <s v="Standard Class"/>
    <s v="AF-10870"/>
    <s v="Art Ferguson"/>
    <x v="2"/>
    <x v="0"/>
    <x v="0"/>
    <x v="0"/>
    <m/>
    <s v="APAC"/>
    <s v="Southeast Asia"/>
    <s v="FUR-FU-10003214"/>
    <x v="2"/>
    <s v="Furnishings"/>
    <s v="Eldon Stacking Tray, Durable"/>
    <n v="42.795000000000002"/>
    <n v="2"/>
    <n v="0.25"/>
    <n v="1.0949999999999989"/>
    <n v="3.39"/>
    <s v="Medium"/>
  </r>
  <r>
    <n v="29160"/>
    <s v="ID-2014-24125"/>
    <d v="2016-01-20T00:00:00"/>
    <d v="2016-01-22T00:00:00"/>
    <s v="Second Class"/>
    <s v="MM-18055"/>
    <s v="Michelle Moray"/>
    <x v="2"/>
    <x v="0"/>
    <x v="0"/>
    <x v="0"/>
    <m/>
    <s v="APAC"/>
    <s v="Southeast Asia"/>
    <s v="OFF-FA-10003437"/>
    <x v="0"/>
    <s v="Fasteners"/>
    <s v="Accos Clamps, Bulk Pack"/>
    <n v="42.63600000000001"/>
    <n v="4"/>
    <n v="0.45"/>
    <n v="-14.004000000000008"/>
    <n v="5.95"/>
    <s v="Medium"/>
  </r>
  <r>
    <n v="27222"/>
    <s v="IN-2014-13478"/>
    <d v="2016-07-26T00:00:00"/>
    <d v="2016-07-30T00:00:00"/>
    <s v="Second Class"/>
    <s v="BM-11575"/>
    <s v="Brendan Murry"/>
    <x v="1"/>
    <x v="8"/>
    <x v="4"/>
    <x v="0"/>
    <m/>
    <s v="APAC"/>
    <s v="Southeast Asia"/>
    <s v="FUR-FU-10000628"/>
    <x v="2"/>
    <s v="Furnishings"/>
    <s v="Rubbermaid Light Bulb, Black"/>
    <n v="42.389999999999993"/>
    <n v="3"/>
    <n v="0.25"/>
    <n v="10.709999999999999"/>
    <n v="0.45"/>
    <s v="Medium"/>
  </r>
  <r>
    <n v="29833"/>
    <s v="ID-2014-52797"/>
    <d v="2016-03-04T00:00:00"/>
    <d v="2016-03-10T00:00:00"/>
    <s v="Standard Class"/>
    <s v="JF-15415"/>
    <s v="Jennifer Ferguson"/>
    <x v="2"/>
    <x v="0"/>
    <x v="0"/>
    <x v="0"/>
    <m/>
    <s v="APAC"/>
    <s v="Southeast Asia"/>
    <s v="FUR-CH-10002209"/>
    <x v="2"/>
    <s v="Chairs"/>
    <s v="Novimex Chairmat, Red"/>
    <n v="42.255000000000003"/>
    <n v="1"/>
    <n v="0.25"/>
    <n v="1.6649999999999991"/>
    <n v="6.5"/>
    <s v="Low"/>
  </r>
  <r>
    <n v="29437"/>
    <s v="ID-2014-34303"/>
    <d v="2016-05-28T00:00:00"/>
    <d v="2016-06-04T00:00:00"/>
    <s v="Standard Class"/>
    <s v="MA-17560"/>
    <s v="Matt Abelman"/>
    <x v="0"/>
    <x v="13"/>
    <x v="0"/>
    <x v="0"/>
    <m/>
    <s v="APAC"/>
    <s v="Southeast Asia"/>
    <s v="OFF-SU-10000866"/>
    <x v="0"/>
    <s v="Supplies"/>
    <s v="Elite Trimmer, Serrated"/>
    <n v="42.207000000000008"/>
    <n v="2"/>
    <n v="0.45"/>
    <n v="-25.353000000000009"/>
    <n v="2.2400000000000002"/>
    <s v="Medium"/>
  </r>
  <r>
    <n v="22547"/>
    <s v="ID-2012-72558"/>
    <d v="2014-11-28T00:00:00"/>
    <d v="2014-12-03T00:00:00"/>
    <s v="Standard Class"/>
    <s v="PR-18880"/>
    <s v="Patrick Ryan"/>
    <x v="2"/>
    <x v="0"/>
    <x v="0"/>
    <x v="0"/>
    <m/>
    <s v="APAC"/>
    <s v="Southeast Asia"/>
    <s v="OFF-FA-10000757"/>
    <x v="0"/>
    <s v="Fasteners"/>
    <s v="Stockwell Paper Clips, Assorted Sizes"/>
    <n v="42.157499999999999"/>
    <n v="7"/>
    <n v="0.45"/>
    <n v="-3.2025000000000006"/>
    <n v="3.42"/>
    <s v="Medium"/>
  </r>
  <r>
    <n v="29092"/>
    <s v="IN-2011-72705"/>
    <d v="2013-11-30T00:00:00"/>
    <d v="2013-12-07T00:00:00"/>
    <s v="Standard Class"/>
    <s v="KD-16615"/>
    <s v="Ken Dana"/>
    <x v="1"/>
    <x v="4"/>
    <x v="2"/>
    <x v="0"/>
    <m/>
    <s v="APAC"/>
    <s v="Southeast Asia"/>
    <s v="OFF-EN-10004560"/>
    <x v="0"/>
    <s v="Envelopes"/>
    <s v="Ames Mailers, Security-Tint"/>
    <n v="42.075000000000003"/>
    <n v="2"/>
    <n v="0.45"/>
    <n v="2.2949999999999946"/>
    <n v="6.57"/>
    <s v="Low"/>
  </r>
  <r>
    <n v="26123"/>
    <s v="ID-2013-68498"/>
    <d v="2015-10-11T00:00:00"/>
    <d v="2015-10-16T00:00:00"/>
    <s v="Standard Class"/>
    <s v="EN-13780"/>
    <s v="Edward Nazzal"/>
    <x v="2"/>
    <x v="9"/>
    <x v="2"/>
    <x v="0"/>
    <m/>
    <s v="APAC"/>
    <s v="Southeast Asia"/>
    <s v="FUR-FU-10002665"/>
    <x v="2"/>
    <s v="Furnishings"/>
    <s v="Advantus Light Bulb, Erganomic"/>
    <n v="42.052499999999995"/>
    <n v="3"/>
    <n v="0.25"/>
    <n v="7.7625000000000028"/>
    <n v="2.97"/>
    <s v="High"/>
  </r>
  <r>
    <n v="20648"/>
    <s v="ID-2014-43403"/>
    <d v="2016-07-17T00:00:00"/>
    <d v="2016-07-22T00:00:00"/>
    <s v="Standard Class"/>
    <s v="JW-15955"/>
    <s v="Joni Wasserman"/>
    <x v="2"/>
    <x v="2"/>
    <x v="0"/>
    <x v="0"/>
    <m/>
    <s v="APAC"/>
    <s v="Southeast Asia"/>
    <s v="OFF-SU-10002543"/>
    <x v="0"/>
    <s v="Supplies"/>
    <s v="Stiletto Scissors, Easy Grip"/>
    <n v="41.629500000000007"/>
    <n v="3"/>
    <n v="0.45"/>
    <n v="-29.560500000000005"/>
    <n v="4.3600000000000003"/>
    <s v="Medium"/>
  </r>
  <r>
    <n v="21125"/>
    <s v="ID-2014-54792"/>
    <d v="2016-12-10T00:00:00"/>
    <d v="2016-12-14T00:00:00"/>
    <s v="Second Class"/>
    <s v="CG-12040"/>
    <s v="Catherine Glotzbach"/>
    <x v="0"/>
    <x v="0"/>
    <x v="0"/>
    <x v="0"/>
    <m/>
    <s v="APAC"/>
    <s v="Southeast Asia"/>
    <s v="OFF-BI-10004589"/>
    <x v="0"/>
    <s v="Binders"/>
    <s v="Avery Binding Machine, Economy"/>
    <n v="41.514000000000003"/>
    <n v="1"/>
    <n v="0.15000000000000002"/>
    <n v="-0.5160000000000009"/>
    <n v="7.73"/>
    <s v="High"/>
  </r>
  <r>
    <n v="22636"/>
    <s v="IN-2014-60413"/>
    <d v="2016-07-07T00:00:00"/>
    <d v="2016-07-11T00:00:00"/>
    <s v="Standard Class"/>
    <s v="RP-19390"/>
    <s v="Resi Pölking"/>
    <x v="2"/>
    <x v="0"/>
    <x v="0"/>
    <x v="0"/>
    <m/>
    <s v="APAC"/>
    <s v="Southeast Asia"/>
    <s v="OFF-EN-10003508"/>
    <x v="0"/>
    <s v="Envelopes"/>
    <s v="GlobeWeis Peel and Seal, with clear poly window"/>
    <n v="41.134500000000003"/>
    <n v="3"/>
    <n v="0.45"/>
    <n v="1.4444999999999908"/>
    <n v="1.3"/>
    <s v="Medium"/>
  </r>
  <r>
    <n v="24357"/>
    <s v="ID-2013-61442"/>
    <d v="2015-01-15T00:00:00"/>
    <d v="2015-01-21T00:00:00"/>
    <s v="Standard Class"/>
    <s v="JB-16000"/>
    <s v="Joy Bell-"/>
    <x v="2"/>
    <x v="0"/>
    <x v="0"/>
    <x v="0"/>
    <m/>
    <s v="APAC"/>
    <s v="Southeast Asia"/>
    <s v="OFF-LA-10004623"/>
    <x v="0"/>
    <s v="Labels"/>
    <s v="Smead Removable Labels, 5000 Label Set"/>
    <n v="40.425000000000004"/>
    <n v="7"/>
    <n v="0.45"/>
    <n v="-1.5750000000000028"/>
    <n v="5.57"/>
    <s v="Low"/>
  </r>
  <r>
    <n v="26408"/>
    <s v="ID-2013-71522"/>
    <d v="2015-01-15T00:00:00"/>
    <d v="2015-01-21T00:00:00"/>
    <s v="Standard Class"/>
    <s v="TA-21385"/>
    <s v="Tom Ashbrook"/>
    <x v="0"/>
    <x v="0"/>
    <x v="0"/>
    <x v="0"/>
    <m/>
    <s v="APAC"/>
    <s v="Southeast Asia"/>
    <s v="OFF-SU-10000175"/>
    <x v="0"/>
    <s v="Supplies"/>
    <s v="Elite Scissors, Easy Grip"/>
    <n v="39.847500000000004"/>
    <n v="3"/>
    <n v="0.45"/>
    <n v="-19.642499999999998"/>
    <n v="1.86"/>
    <s v="Low"/>
  </r>
  <r>
    <n v="29435"/>
    <s v="ID-2014-34303"/>
    <d v="2016-05-28T00:00:00"/>
    <d v="2016-06-04T00:00:00"/>
    <s v="Standard Class"/>
    <s v="MA-17560"/>
    <s v="Matt Abelman"/>
    <x v="0"/>
    <x v="13"/>
    <x v="0"/>
    <x v="0"/>
    <m/>
    <s v="APAC"/>
    <s v="Southeast Asia"/>
    <s v="OFF-SU-10004461"/>
    <x v="0"/>
    <s v="Supplies"/>
    <s v="Stiletto Box Cutter, High Speed"/>
    <n v="39.567"/>
    <n v="2"/>
    <n v="0.45"/>
    <n v="-15.152999999999999"/>
    <n v="1.95"/>
    <s v="Medium"/>
  </r>
  <r>
    <n v="28718"/>
    <s v="ID-2014-45083"/>
    <d v="2016-08-16T00:00:00"/>
    <d v="2016-08-19T00:00:00"/>
    <s v="Second Class"/>
    <s v="BD-11620"/>
    <s v="Brian DeCherney"/>
    <x v="2"/>
    <x v="0"/>
    <x v="0"/>
    <x v="0"/>
    <m/>
    <s v="APAC"/>
    <s v="Southeast Asia"/>
    <s v="OFF-FA-10004523"/>
    <x v="0"/>
    <s v="Fasteners"/>
    <s v="OIC Thumb Tacks, Bulk Pack"/>
    <n v="38.692500000000003"/>
    <n v="5"/>
    <n v="0.45"/>
    <n v="-12.757499999999993"/>
    <n v="2.79"/>
    <s v="Medium"/>
  </r>
  <r>
    <n v="23755"/>
    <s v="ID-2013-27016"/>
    <d v="2015-02-20T00:00:00"/>
    <d v="2015-02-26T00:00:00"/>
    <s v="Standard Class"/>
    <s v="SJ-20125"/>
    <s v="Sanjit Jacobs"/>
    <x v="0"/>
    <x v="0"/>
    <x v="0"/>
    <x v="0"/>
    <m/>
    <s v="APAC"/>
    <s v="Southeast Asia"/>
    <s v="OFF-SU-10003789"/>
    <x v="0"/>
    <s v="Supplies"/>
    <s v="Fiskars Box Cutter, Steel"/>
    <n v="38.412000000000006"/>
    <n v="2"/>
    <n v="0.45"/>
    <n v="-3.5279999999999987"/>
    <n v="3.8"/>
    <s v="Low"/>
  </r>
  <r>
    <n v="20931"/>
    <s v="IN-2014-49549"/>
    <d v="2016-09-27T00:00:00"/>
    <d v="2016-10-04T00:00:00"/>
    <s v="Standard Class"/>
    <s v="TS-21430"/>
    <s v="Tom Stivers"/>
    <x v="1"/>
    <x v="0"/>
    <x v="0"/>
    <x v="0"/>
    <m/>
    <s v="APAC"/>
    <s v="Southeast Asia"/>
    <s v="OFF-AR-10000465"/>
    <x v="0"/>
    <s v="Art"/>
    <s v="Sanford Markers, Blue"/>
    <n v="38.362499999999997"/>
    <n v="3"/>
    <n v="0.45"/>
    <n v="-18.877499999999998"/>
    <n v="2.77"/>
    <s v="Medium"/>
  </r>
  <r>
    <n v="23136"/>
    <s v="ID-2014-69058"/>
    <d v="2016-05-22T00:00:00"/>
    <d v="2016-05-27T00:00:00"/>
    <s v="Second Class"/>
    <s v="RB-19645"/>
    <s v="Robert Barroso"/>
    <x v="1"/>
    <x v="0"/>
    <x v="0"/>
    <x v="0"/>
    <m/>
    <s v="APAC"/>
    <s v="Southeast Asia"/>
    <s v="OFF-AR-10001862"/>
    <x v="0"/>
    <s v="Art"/>
    <s v="Boston Pens, Water Color"/>
    <n v="38.280000000000008"/>
    <n v="4"/>
    <n v="0.45"/>
    <n v="1.3199999999999967"/>
    <n v="3.38"/>
    <s v="Medium"/>
  </r>
  <r>
    <n v="22967"/>
    <s v="IN-2014-42437"/>
    <d v="2016-06-09T00:00:00"/>
    <d v="2016-06-13T00:00:00"/>
    <s v="Standard Class"/>
    <s v="JF-15415"/>
    <s v="Jennifer Ferguson"/>
    <x v="2"/>
    <x v="3"/>
    <x v="0"/>
    <x v="0"/>
    <m/>
    <s v="APAC"/>
    <s v="Southeast Asia"/>
    <s v="FUR-FU-10003012"/>
    <x v="2"/>
    <s v="Furnishings"/>
    <s v="Rubbermaid Stacking Tray, Durable"/>
    <n v="37.71"/>
    <n v="2"/>
    <n v="0.25"/>
    <n v="5.0100000000000016"/>
    <n v="3.9"/>
    <s v="High"/>
  </r>
  <r>
    <n v="25136"/>
    <s v="ID-2013-53224"/>
    <d v="2015-06-21T00:00:00"/>
    <d v="2015-06-22T00:00:00"/>
    <s v="First Class"/>
    <s v="AB-10060"/>
    <s v="Adam Bellavance"/>
    <x v="0"/>
    <x v="13"/>
    <x v="0"/>
    <x v="0"/>
    <m/>
    <s v="APAC"/>
    <s v="Southeast Asia"/>
    <s v="FUR-FU-10004074"/>
    <x v="2"/>
    <s v="Furnishings"/>
    <s v="Advantus Stacking Tray, Erganomic"/>
    <n v="37.484999999999999"/>
    <n v="2"/>
    <n v="0.25"/>
    <n v="-0.55500000000000149"/>
    <n v="7.69"/>
    <s v="High"/>
  </r>
  <r>
    <n v="22239"/>
    <s v="ID-2014-31125"/>
    <d v="2016-01-09T00:00:00"/>
    <d v="2016-01-14T00:00:00"/>
    <s v="Standard Class"/>
    <s v="BT-11305"/>
    <s v="Beth Thompson"/>
    <x v="0"/>
    <x v="0"/>
    <x v="0"/>
    <x v="0"/>
    <m/>
    <s v="APAC"/>
    <s v="Southeast Asia"/>
    <s v="OFF-AR-10004780"/>
    <x v="0"/>
    <s v="Art"/>
    <s v="Stanley Markers, Blue"/>
    <n v="36.630000000000003"/>
    <n v="3"/>
    <n v="0.45"/>
    <n v="1.9799999999999969"/>
    <n v="1.94"/>
    <s v="Medium"/>
  </r>
  <r>
    <n v="27603"/>
    <s v="ID-2013-58579"/>
    <d v="2015-12-19T00:00:00"/>
    <d v="2015-12-24T00:00:00"/>
    <s v="Standard Class"/>
    <s v="MT-18070"/>
    <s v="Michelle Tran"/>
    <x v="0"/>
    <x v="0"/>
    <x v="0"/>
    <x v="0"/>
    <m/>
    <s v="APAC"/>
    <s v="Southeast Asia"/>
    <s v="FUR-FU-10002803"/>
    <x v="2"/>
    <s v="Furnishings"/>
    <s v="Deflect-O Stacking Tray, Erganomic"/>
    <n v="35.865000000000002"/>
    <n v="2"/>
    <n v="0.25"/>
    <n v="-8.1750000000000007"/>
    <n v="1.88"/>
    <s v="Medium"/>
  </r>
  <r>
    <n v="28233"/>
    <s v="ID-2014-74119"/>
    <d v="2016-09-30T00:00:00"/>
    <d v="2016-10-04T00:00:00"/>
    <s v="Second Class"/>
    <s v="DH-13675"/>
    <s v="Duane Huffman"/>
    <x v="0"/>
    <x v="0"/>
    <x v="0"/>
    <x v="0"/>
    <m/>
    <s v="APAC"/>
    <s v="Southeast Asia"/>
    <s v="FUR-FU-10002335"/>
    <x v="2"/>
    <s v="Furnishings"/>
    <s v="Rubbermaid Light Bulb, Durable"/>
    <n v="35.707499999999996"/>
    <n v="3"/>
    <n v="0.25"/>
    <n v="1.4175000000000004"/>
    <n v="6.92"/>
    <s v="High"/>
  </r>
  <r>
    <n v="23180"/>
    <s v="ID-2014-68099"/>
    <d v="2016-02-04T00:00:00"/>
    <d v="2016-02-07T00:00:00"/>
    <s v="First Class"/>
    <s v="MF-18250"/>
    <s v="Monica Federle"/>
    <x v="1"/>
    <x v="0"/>
    <x v="0"/>
    <x v="0"/>
    <m/>
    <s v="APAC"/>
    <s v="Southeast Asia"/>
    <s v="OFF-SU-10003559"/>
    <x v="0"/>
    <s v="Supplies"/>
    <s v="Kleencut Ruler, Steel"/>
    <n v="35.640000000000008"/>
    <n v="5"/>
    <n v="0.45"/>
    <n v="-15.660000000000004"/>
    <n v="4.3600000000000003"/>
    <s v="Medium"/>
  </r>
  <r>
    <n v="28146"/>
    <s v="ID-2013-68841"/>
    <d v="2015-09-03T00:00:00"/>
    <d v="2015-09-08T00:00:00"/>
    <s v="Standard Class"/>
    <s v="SM-20005"/>
    <s v="Sally Matthias"/>
    <x v="2"/>
    <x v="13"/>
    <x v="0"/>
    <x v="0"/>
    <m/>
    <s v="APAC"/>
    <s v="Southeast Asia"/>
    <s v="FUR-CH-10004312"/>
    <x v="2"/>
    <s v="Chairs"/>
    <s v="Hon Bag Chairs, Set of Two"/>
    <n v="35.549999999999997"/>
    <n v="1"/>
    <n v="0.25"/>
    <n v="-0.47999999999999865"/>
    <n v="2.17"/>
    <s v="High"/>
  </r>
  <r>
    <n v="27503"/>
    <s v="ID-2013-13562"/>
    <d v="2015-09-03T00:00:00"/>
    <d v="2015-09-08T00:00:00"/>
    <s v="Standard Class"/>
    <s v="DO-13435"/>
    <s v="Denny Ordway"/>
    <x v="2"/>
    <x v="0"/>
    <x v="0"/>
    <x v="0"/>
    <m/>
    <s v="APAC"/>
    <s v="Southeast Asia"/>
    <s v="OFF-EN-10000539"/>
    <x v="0"/>
    <s v="Envelopes"/>
    <s v="Ames Clasp Envelope, with clear poly window"/>
    <n v="35.442000000000007"/>
    <n v="6"/>
    <n v="0.45"/>
    <n v="-27.738"/>
    <n v="2.09"/>
    <s v="Medium"/>
  </r>
  <r>
    <n v="25785"/>
    <s v="IN-2014-24650"/>
    <d v="2016-08-14T00:00:00"/>
    <d v="2016-08-16T00:00:00"/>
    <s v="First Class"/>
    <s v="HA-14905"/>
    <s v="Helen Abelman"/>
    <x v="2"/>
    <x v="0"/>
    <x v="0"/>
    <x v="0"/>
    <m/>
    <s v="APAC"/>
    <s v="Southeast Asia"/>
    <s v="OFF-BI-10004440"/>
    <x v="0"/>
    <s v="Binders"/>
    <s v="Cardinal Binder, Economy"/>
    <n v="35.266499999999994"/>
    <n v="3"/>
    <n v="0.15000000000000002"/>
    <n v="3.6765000000000008"/>
    <n v="3.21"/>
    <s v="High"/>
  </r>
  <r>
    <n v="23548"/>
    <s v="IN-2012-29046"/>
    <d v="2014-08-23T00:00:00"/>
    <d v="2014-08-26T00:00:00"/>
    <s v="Second Class"/>
    <s v="NP-18685"/>
    <s v="Nora Pelletier"/>
    <x v="0"/>
    <x v="0"/>
    <x v="0"/>
    <x v="0"/>
    <m/>
    <s v="APAC"/>
    <s v="Southeast Asia"/>
    <s v="OFF-PA-10000344"/>
    <x v="0"/>
    <s v="Paper"/>
    <s v="SanDisk Memo Slips, 8.5 x 11"/>
    <n v="34.848000000000006"/>
    <n v="3"/>
    <n v="0.45"/>
    <n v="3.1679999999999957"/>
    <n v="2.74"/>
    <s v="High"/>
  </r>
  <r>
    <n v="20650"/>
    <s v="IN-2014-67119"/>
    <d v="2016-11-07T00:00:00"/>
    <d v="2016-11-10T00:00:00"/>
    <s v="First Class"/>
    <s v="AR-10570"/>
    <s v="Anemone Ratner"/>
    <x v="2"/>
    <x v="0"/>
    <x v="0"/>
    <x v="0"/>
    <m/>
    <s v="APAC"/>
    <s v="Southeast Asia"/>
    <s v="OFF-BI-10001904"/>
    <x v="0"/>
    <s v="Binders"/>
    <s v="Cardinal Binder Covers, Durable"/>
    <n v="34.424999999999997"/>
    <n v="3"/>
    <n v="0.15000000000000002"/>
    <n v="13.725"/>
    <n v="11.7"/>
    <s v="Critical"/>
  </r>
  <r>
    <n v="25603"/>
    <s v="ID-2011-30922"/>
    <d v="2013-11-28T00:00:00"/>
    <d v="2013-12-03T00:00:00"/>
    <s v="Standard Class"/>
    <s v="AG-10330"/>
    <s v="Alex Grayson"/>
    <x v="2"/>
    <x v="11"/>
    <x v="2"/>
    <x v="0"/>
    <m/>
    <s v="APAC"/>
    <s v="Southeast Asia"/>
    <s v="OFF-ST-10003445"/>
    <x v="0"/>
    <s v="Storage"/>
    <s v="Rogers Folders, Industrial"/>
    <n v="34.286999999999999"/>
    <n v="2"/>
    <n v="0.45"/>
    <n v="-26.192999999999998"/>
    <n v="1.1499999999999999"/>
    <s v="Medium"/>
  </r>
  <r>
    <n v="20907"/>
    <s v="ID-2014-52349"/>
    <d v="2016-07-22T00:00:00"/>
    <d v="2016-07-27T00:00:00"/>
    <s v="Second Class"/>
    <s v="NF-18385"/>
    <s v="Natalie Fritzler"/>
    <x v="2"/>
    <x v="0"/>
    <x v="0"/>
    <x v="0"/>
    <m/>
    <s v="APAC"/>
    <s v="Southeast Asia"/>
    <s v="OFF-BI-10000439"/>
    <x v="0"/>
    <s v="Binders"/>
    <s v="Acco Hole Reinforcements, Economy"/>
    <n v="33.965999999999994"/>
    <n v="6"/>
    <n v="0.15000000000000002"/>
    <n v="8.7659999999999982"/>
    <n v="4.93"/>
    <s v="Medium"/>
  </r>
  <r>
    <n v="22016"/>
    <s v="ID-2013-16306"/>
    <d v="2015-10-18T00:00:00"/>
    <d v="2015-10-23T00:00:00"/>
    <s v="Second Class"/>
    <s v="CS-11950"/>
    <s v="Carlos Soltero"/>
    <x v="2"/>
    <x v="4"/>
    <x v="2"/>
    <x v="0"/>
    <m/>
    <s v="APAC"/>
    <s v="Southeast Asia"/>
    <s v="OFF-BI-10000854"/>
    <x v="0"/>
    <s v="Binders"/>
    <s v="Acco Binder Covers, Economy"/>
    <n v="33.965999999999994"/>
    <n v="3"/>
    <n v="0.15000000000000002"/>
    <n v="-5.400000000000027E-2"/>
    <n v="3.6"/>
    <s v="Medium"/>
  </r>
  <r>
    <n v="20928"/>
    <s v="IN-2014-49549"/>
    <d v="2016-09-27T00:00:00"/>
    <d v="2016-10-04T00:00:00"/>
    <s v="Standard Class"/>
    <s v="TS-21430"/>
    <s v="Tom Stivers"/>
    <x v="1"/>
    <x v="0"/>
    <x v="0"/>
    <x v="0"/>
    <m/>
    <s v="APAC"/>
    <s v="Southeast Asia"/>
    <s v="OFF-SU-10003527"/>
    <x v="0"/>
    <s v="Supplies"/>
    <s v="Elite Ruler, Easy Grip"/>
    <n v="33.923999999999999"/>
    <n v="4"/>
    <n v="0.45"/>
    <n v="-12.995999999999997"/>
    <n v="0.95"/>
    <s v="Medium"/>
  </r>
  <r>
    <n v="29722"/>
    <s v="ID-2011-13240"/>
    <d v="2013-11-25T00:00:00"/>
    <d v="2013-11-30T00:00:00"/>
    <s v="Standard Class"/>
    <s v="AH-10195"/>
    <s v="Alan Haines"/>
    <x v="1"/>
    <x v="4"/>
    <x v="2"/>
    <x v="0"/>
    <m/>
    <s v="APAC"/>
    <s v="Southeast Asia"/>
    <s v="OFF-FA-10001082"/>
    <x v="0"/>
    <s v="Fasteners"/>
    <s v="OIC Staples, Assorted Sizes"/>
    <n v="33.841500000000011"/>
    <n v="7"/>
    <n v="0.45"/>
    <n v="-26.638500000000004"/>
    <n v="4.6500000000000004"/>
    <s v="High"/>
  </r>
  <r>
    <n v="21629"/>
    <s v="IN-2014-15956"/>
    <d v="2016-04-01T00:00:00"/>
    <d v="2016-04-07T00:00:00"/>
    <s v="Standard Class"/>
    <s v="LA-16780"/>
    <s v="Laura Armstrong"/>
    <x v="1"/>
    <x v="0"/>
    <x v="0"/>
    <x v="0"/>
    <m/>
    <s v="APAC"/>
    <s v="Southeast Asia"/>
    <s v="OFF-BI-10000305"/>
    <x v="0"/>
    <s v="Binders"/>
    <s v="Wilson Jones Index Tab, Durable"/>
    <n v="33.787499999999994"/>
    <n v="5"/>
    <n v="0.15000000000000002"/>
    <n v="1.0874999999999995"/>
    <n v="1.2"/>
    <s v="Medium"/>
  </r>
  <r>
    <n v="26074"/>
    <s v="IN-2011-18987"/>
    <d v="2013-08-15T00:00:00"/>
    <d v="2013-08-17T00:00:00"/>
    <s v="First Class"/>
    <s v="LE-16810"/>
    <s v="Laurel Elliston"/>
    <x v="2"/>
    <x v="10"/>
    <x v="5"/>
    <x v="0"/>
    <m/>
    <s v="APAC"/>
    <s v="Southeast Asia"/>
    <s v="OFF-PA-10002461"/>
    <x v="0"/>
    <s v="Paper"/>
    <s v="Eaton Parchment Paper, Multicolor"/>
    <n v="32.735999999999997"/>
    <n v="4"/>
    <n v="0.45"/>
    <n v="-9.0239999999999974"/>
    <n v="7.7"/>
    <s v="Medium"/>
  </r>
  <r>
    <n v="21820"/>
    <s v="ID-2014-56059"/>
    <d v="2016-09-29T00:00:00"/>
    <d v="2016-10-02T00:00:00"/>
    <s v="Second Class"/>
    <s v="CM-12190"/>
    <s v="Charlotte Melton"/>
    <x v="2"/>
    <x v="15"/>
    <x v="0"/>
    <x v="0"/>
    <m/>
    <s v="APAC"/>
    <s v="Southeast Asia"/>
    <s v="OFF-AR-10002897"/>
    <x v="0"/>
    <s v="Art"/>
    <s v="BIC Markers, Water Color"/>
    <n v="32.571000000000005"/>
    <n v="2"/>
    <n v="0.45"/>
    <n v="-5.3490000000000038"/>
    <n v="3.52"/>
    <s v="High"/>
  </r>
  <r>
    <n v="26274"/>
    <s v="ID-2014-33680"/>
    <d v="2016-07-09T00:00:00"/>
    <d v="2016-07-12T00:00:00"/>
    <s v="Second Class"/>
    <s v="PT-19090"/>
    <s v="Pete Takahito"/>
    <x v="2"/>
    <x v="2"/>
    <x v="0"/>
    <x v="0"/>
    <m/>
    <s v="APAC"/>
    <s v="Southeast Asia"/>
    <s v="TEC-AC-10004773"/>
    <x v="1"/>
    <s v="Accessories"/>
    <s v="Memorex Flash Drive, Bluetooth"/>
    <n v="32.340000000000003"/>
    <n v="2"/>
    <n v="0.45"/>
    <n v="-10.620000000000001"/>
    <n v="6.48"/>
    <s v="Critical"/>
  </r>
  <r>
    <n v="24433"/>
    <s v="ID-2014-74238"/>
    <d v="2016-02-17T00:00:00"/>
    <d v="2016-02-18T00:00:00"/>
    <s v="First Class"/>
    <s v="KH-16510"/>
    <s v="Keith Herrera"/>
    <x v="2"/>
    <x v="8"/>
    <x v="4"/>
    <x v="0"/>
    <m/>
    <s v="APAC"/>
    <s v="Southeast Asia"/>
    <s v="OFF-SU-10003717"/>
    <x v="0"/>
    <s v="Supplies"/>
    <s v="Stiletto Ruler, Serrated"/>
    <n v="31.845000000000002"/>
    <n v="5"/>
    <n v="0.45"/>
    <n v="-22.004999999999999"/>
    <n v="6.27"/>
    <s v="High"/>
  </r>
  <r>
    <n v="22640"/>
    <s v="IN-2014-60413"/>
    <d v="2016-07-07T00:00:00"/>
    <d v="2016-07-11T00:00:00"/>
    <s v="Standard Class"/>
    <s v="RP-19390"/>
    <s v="Resi Pölking"/>
    <x v="2"/>
    <x v="0"/>
    <x v="0"/>
    <x v="0"/>
    <m/>
    <s v="APAC"/>
    <s v="Southeast Asia"/>
    <s v="OFF-FA-10002597"/>
    <x v="0"/>
    <s v="Fasteners"/>
    <s v="OIC Clamps, 12 Pack"/>
    <n v="31.680000000000007"/>
    <n v="3"/>
    <n v="0.45"/>
    <n v="-24.840000000000011"/>
    <n v="3.21"/>
    <s v="Medium"/>
  </r>
  <r>
    <n v="28140"/>
    <s v="IN-2014-44614"/>
    <d v="2016-12-04T00:00:00"/>
    <d v="2016-12-10T00:00:00"/>
    <s v="Standard Class"/>
    <s v="KT-16480"/>
    <s v="Kean Thornton"/>
    <x v="2"/>
    <x v="15"/>
    <x v="0"/>
    <x v="0"/>
    <m/>
    <s v="APAC"/>
    <s v="Southeast Asia"/>
    <s v="OFF-BI-10003018"/>
    <x v="0"/>
    <s v="Binders"/>
    <s v="Avery Binder, Clear"/>
    <n v="31.517999999999994"/>
    <n v="3"/>
    <n v="0.15000000000000002"/>
    <n v="12.167999999999999"/>
    <n v="1.66"/>
    <s v="Medium"/>
  </r>
  <r>
    <n v="24218"/>
    <s v="ID-2014-37579"/>
    <d v="2016-08-11T00:00:00"/>
    <d v="2016-08-16T00:00:00"/>
    <s v="Second Class"/>
    <s v="RA-19915"/>
    <s v="Russell Applegate"/>
    <x v="2"/>
    <x v="1"/>
    <x v="1"/>
    <x v="0"/>
    <m/>
    <s v="APAC"/>
    <s v="Southeast Asia"/>
    <s v="TEC-AC-10003451"/>
    <x v="1"/>
    <s v="Accessories"/>
    <s v="Logitech Flash Drive, Erganomic"/>
    <n v="31.152000000000005"/>
    <n v="2"/>
    <n v="0.45"/>
    <n v="-0.58799999999999741"/>
    <n v="1.58"/>
    <s v="Medium"/>
  </r>
  <r>
    <n v="28593"/>
    <s v="ID-2014-73678"/>
    <d v="2016-10-23T00:00:00"/>
    <d v="2016-10-28T00:00:00"/>
    <s v="Standard Class"/>
    <s v="AO-10810"/>
    <s v="Anthony O'Donnell"/>
    <x v="1"/>
    <x v="3"/>
    <x v="0"/>
    <x v="0"/>
    <m/>
    <s v="APAC"/>
    <s v="Southeast Asia"/>
    <s v="OFF-AR-10004990"/>
    <x v="0"/>
    <s v="Art"/>
    <s v="Boston Highlighters, Blue"/>
    <n v="31.135499999999997"/>
    <n v="3"/>
    <n v="0.45"/>
    <n v="1.0755000000000088"/>
    <n v="2.1"/>
    <s v="Medium"/>
  </r>
  <r>
    <n v="20651"/>
    <s v="IN-2014-67119"/>
    <d v="2016-11-07T00:00:00"/>
    <d v="2016-11-10T00:00:00"/>
    <s v="First Class"/>
    <s v="AR-10570"/>
    <s v="Anemone Ratner"/>
    <x v="2"/>
    <x v="0"/>
    <x v="0"/>
    <x v="0"/>
    <m/>
    <s v="APAC"/>
    <s v="Southeast Asia"/>
    <s v="OFF-FA-10001375"/>
    <x v="0"/>
    <s v="Fasteners"/>
    <s v="Accos Clamps, 12 Pack"/>
    <n v="31.036500000000004"/>
    <n v="3"/>
    <n v="0.45"/>
    <n v="-20.893500000000003"/>
    <n v="9.98"/>
    <s v="Critical"/>
  </r>
  <r>
    <n v="29871"/>
    <s v="ID-2014-18644"/>
    <d v="2016-08-18T00:00:00"/>
    <d v="2016-08-22T00:00:00"/>
    <s v="Standard Class"/>
    <s v="HM-14980"/>
    <s v="Henry MacAllister"/>
    <x v="2"/>
    <x v="16"/>
    <x v="0"/>
    <x v="0"/>
    <m/>
    <s v="APAC"/>
    <s v="Southeast Asia"/>
    <s v="OFF-BI-10001659"/>
    <x v="0"/>
    <s v="Binders"/>
    <s v="Cardinal Index Tab, Clear"/>
    <n v="30.854999999999997"/>
    <n v="5"/>
    <n v="0.15000000000000002"/>
    <n v="1.004999999999999"/>
    <n v="0.81"/>
    <s v="Medium"/>
  </r>
  <r>
    <n v="22637"/>
    <s v="IN-2014-60413"/>
    <d v="2016-07-07T00:00:00"/>
    <d v="2016-07-11T00:00:00"/>
    <s v="Standard Class"/>
    <s v="RP-19390"/>
    <s v="Resi Pölking"/>
    <x v="2"/>
    <x v="0"/>
    <x v="0"/>
    <x v="0"/>
    <m/>
    <s v="APAC"/>
    <s v="Southeast Asia"/>
    <s v="OFF-EN-10002425"/>
    <x v="0"/>
    <s v="Envelopes"/>
    <s v="Ames Peel and Seal, Set of 50"/>
    <n v="30.838500000000007"/>
    <n v="3"/>
    <n v="0.45"/>
    <n v="-23.611500000000003"/>
    <n v="1.5"/>
    <s v="Medium"/>
  </r>
  <r>
    <n v="28832"/>
    <s v="ID-2014-42066"/>
    <d v="2016-09-30T00:00:00"/>
    <d v="2016-10-04T00:00:00"/>
    <s v="Second Class"/>
    <s v="TT-21070"/>
    <s v="Ted Trevino"/>
    <x v="2"/>
    <x v="0"/>
    <x v="0"/>
    <x v="0"/>
    <m/>
    <s v="APAC"/>
    <s v="Southeast Asia"/>
    <s v="OFF-PA-10000302"/>
    <x v="0"/>
    <s v="Paper"/>
    <s v="Eaton Computer Printout Paper, Multicolor"/>
    <n v="30.756000000000004"/>
    <n v="2"/>
    <n v="0.45"/>
    <n v="-4.5240000000000009"/>
    <n v="3.49"/>
    <s v="High"/>
  </r>
  <r>
    <n v="26891"/>
    <s v="ID-2013-26449"/>
    <d v="2015-06-14T00:00:00"/>
    <d v="2015-06-14T00:00:00"/>
    <s v="Same Day"/>
    <s v="CV-12805"/>
    <s v="Cynthia Voltz"/>
    <x v="1"/>
    <x v="17"/>
    <x v="2"/>
    <x v="0"/>
    <m/>
    <s v="APAC"/>
    <s v="Southeast Asia"/>
    <s v="FUR-FU-10000069"/>
    <x v="2"/>
    <s v="Furnishings"/>
    <s v="Tenex Door Stop, Durable"/>
    <n v="30.69"/>
    <n v="1"/>
    <n v="0.25"/>
    <n v="-5.3400000000000007"/>
    <n v="4.57"/>
    <s v="Medium"/>
  </r>
  <r>
    <n v="23181"/>
    <s v="ID-2014-68099"/>
    <d v="2016-02-04T00:00:00"/>
    <d v="2016-02-07T00:00:00"/>
    <s v="First Class"/>
    <s v="MF-18250"/>
    <s v="Monica Federle"/>
    <x v="1"/>
    <x v="0"/>
    <x v="0"/>
    <x v="0"/>
    <m/>
    <s v="APAC"/>
    <s v="Southeast Asia"/>
    <s v="OFF-BI-10002558"/>
    <x v="0"/>
    <s v="Binders"/>
    <s v="Cardinal Binder Covers, Economy"/>
    <n v="30.599999999999998"/>
    <n v="3"/>
    <n v="0.15000000000000002"/>
    <n v="-1.7999999999999998"/>
    <n v="4.75"/>
    <s v="Medium"/>
  </r>
  <r>
    <n v="29826"/>
    <s v="ID-2014-48961"/>
    <d v="2016-11-10T00:00:00"/>
    <d v="2016-11-15T00:00:00"/>
    <s v="Standard Class"/>
    <s v="BT-11440"/>
    <s v="Bobby Trafton"/>
    <x v="2"/>
    <x v="0"/>
    <x v="0"/>
    <x v="0"/>
    <m/>
    <s v="APAC"/>
    <s v="Southeast Asia"/>
    <s v="OFF-LA-10002319"/>
    <x v="0"/>
    <s v="Labels"/>
    <s v="Smead Legal Exhibit Labels, Laser Printer Compatible"/>
    <n v="30.525000000000002"/>
    <n v="5"/>
    <n v="0.45"/>
    <n v="-1.125"/>
    <n v="2.78"/>
    <s v="Medium"/>
  </r>
  <r>
    <n v="23103"/>
    <s v="ID-2011-66412"/>
    <d v="2013-03-30T00:00:00"/>
    <d v="2013-04-03T00:00:00"/>
    <s v="Standard Class"/>
    <s v="AF-10870"/>
    <s v="Art Ferguson"/>
    <x v="2"/>
    <x v="0"/>
    <x v="0"/>
    <x v="0"/>
    <m/>
    <s v="APAC"/>
    <s v="Southeast Asia"/>
    <s v="OFF-FA-10000353"/>
    <x v="0"/>
    <s v="Fasteners"/>
    <s v="Accos Staples, Metal"/>
    <n v="30.442500000000003"/>
    <n v="5"/>
    <n v="0.45"/>
    <n v="-24.457500000000003"/>
    <n v="3.65"/>
    <s v="Medium"/>
  </r>
  <r>
    <n v="24232"/>
    <s v="IN-2013-11973"/>
    <d v="2015-06-10T00:00:00"/>
    <d v="2015-06-14T00:00:00"/>
    <s v="Standard Class"/>
    <s v="PF-19225"/>
    <s v="Phillip Flathmann"/>
    <x v="2"/>
    <x v="0"/>
    <x v="0"/>
    <x v="0"/>
    <m/>
    <s v="APAC"/>
    <s v="Southeast Asia"/>
    <s v="OFF-LA-10000322"/>
    <x v="0"/>
    <s v="Labels"/>
    <s v="Smead Round Labels, Laser Printer Compatible"/>
    <n v="30.36"/>
    <n v="8"/>
    <n v="0.45"/>
    <n v="-16.68"/>
    <n v="4.51"/>
    <s v="High"/>
  </r>
  <r>
    <n v="27309"/>
    <s v="ID-2014-45104"/>
    <d v="2016-04-07T00:00:00"/>
    <d v="2016-04-11T00:00:00"/>
    <s v="Standard Class"/>
    <s v="BT-11485"/>
    <s v="Brad Thomas"/>
    <x v="0"/>
    <x v="5"/>
    <x v="0"/>
    <x v="0"/>
    <m/>
    <s v="APAC"/>
    <s v="Southeast Asia"/>
    <s v="OFF-EN-10000387"/>
    <x v="0"/>
    <s v="Envelopes"/>
    <s v="Kraft Clasp Envelope, Recycled"/>
    <n v="30.03"/>
    <n v="7"/>
    <n v="0.45"/>
    <n v="-1.6799999999999962"/>
    <n v="2.23"/>
    <s v="Medium"/>
  </r>
  <r>
    <n v="22825"/>
    <s v="ID-2014-39322"/>
    <d v="2016-09-15T00:00:00"/>
    <d v="2016-09-20T00:00:00"/>
    <s v="Standard Class"/>
    <s v="MP-17965"/>
    <s v="Michael Paige"/>
    <x v="1"/>
    <x v="0"/>
    <x v="0"/>
    <x v="0"/>
    <m/>
    <s v="APAC"/>
    <s v="Southeast Asia"/>
    <s v="OFF-EN-10002119"/>
    <x v="0"/>
    <s v="Envelopes"/>
    <s v="Ames Manila Envelope, Security-Tint"/>
    <n v="29.799000000000007"/>
    <n v="2"/>
    <n v="0.45"/>
    <n v="-2.1000000000004349E-2"/>
    <n v="3.2"/>
    <s v="High"/>
  </r>
  <r>
    <n v="22263"/>
    <s v="ID-2013-63640"/>
    <d v="2015-05-08T00:00:00"/>
    <d v="2015-05-10T00:00:00"/>
    <s v="First Class"/>
    <s v="RB-19330"/>
    <s v="Randy Bradley"/>
    <x v="2"/>
    <x v="0"/>
    <x v="0"/>
    <x v="0"/>
    <m/>
    <s v="APAC"/>
    <s v="Southeast Asia"/>
    <s v="OFF-LA-10000624"/>
    <x v="0"/>
    <s v="Labels"/>
    <s v="Hon File Folder Labels, 5000 Label Set"/>
    <n v="29.798999999999999"/>
    <n v="6"/>
    <n v="0.45"/>
    <n v="-4.4009999999999962"/>
    <n v="6.75"/>
    <s v="Critical"/>
  </r>
  <r>
    <n v="28066"/>
    <s v="IN-2014-20338"/>
    <d v="2016-09-21T00:00:00"/>
    <d v="2016-09-26T00:00:00"/>
    <s v="Standard Class"/>
    <s v="VB-21745"/>
    <s v="Victoria Brennan"/>
    <x v="1"/>
    <x v="0"/>
    <x v="0"/>
    <x v="0"/>
    <m/>
    <s v="APAC"/>
    <s v="Southeast Asia"/>
    <s v="OFF-AR-10004219"/>
    <x v="0"/>
    <s v="Art"/>
    <s v="Sanford Pencil Sharpener, Easy-Erase"/>
    <n v="29.798999999999999"/>
    <n v="2"/>
    <n v="0.45"/>
    <n v="2.679000000000002"/>
    <n v="1.99"/>
    <s v="Medium"/>
  </r>
  <r>
    <n v="29129"/>
    <s v="ID-2012-22550"/>
    <d v="2014-11-13T00:00:00"/>
    <d v="2014-11-17T00:00:00"/>
    <s v="Standard Class"/>
    <s v="BD-11620"/>
    <s v="Brian DeCherney"/>
    <x v="2"/>
    <x v="0"/>
    <x v="0"/>
    <x v="0"/>
    <m/>
    <s v="APAC"/>
    <s v="Southeast Asia"/>
    <s v="OFF-ST-10002714"/>
    <x v="0"/>
    <s v="Storage"/>
    <s v="Eldon Box, Industrial"/>
    <n v="29.535"/>
    <n v="5"/>
    <n v="0.45"/>
    <n v="-2.264999999999997"/>
    <n v="4.1500000000000004"/>
    <s v="High"/>
  </r>
  <r>
    <n v="27386"/>
    <s v="ID-2011-40953"/>
    <d v="2013-07-04T00:00:00"/>
    <d v="2013-07-07T00:00:00"/>
    <s v="First Class"/>
    <s v="AA-10315"/>
    <s v="Alex Avila"/>
    <x v="2"/>
    <x v="2"/>
    <x v="0"/>
    <x v="0"/>
    <m/>
    <s v="APAC"/>
    <s v="Southeast Asia"/>
    <s v="TEC-AC-10004704"/>
    <x v="1"/>
    <s v="Accessories"/>
    <s v="SanDisk Numeric Keypad, USB"/>
    <n v="29.238000000000007"/>
    <n v="1"/>
    <n v="0.45"/>
    <n v="-8.5320000000000036"/>
    <n v="6.66"/>
    <s v="High"/>
  </r>
  <r>
    <n v="23700"/>
    <s v="ID-2014-48268"/>
    <d v="2016-11-17T00:00:00"/>
    <d v="2016-11-21T00:00:00"/>
    <s v="Standard Class"/>
    <s v="SC-20845"/>
    <s v="Sung Chung"/>
    <x v="2"/>
    <x v="0"/>
    <x v="0"/>
    <x v="0"/>
    <m/>
    <s v="APAC"/>
    <s v="Southeast Asia"/>
    <s v="OFF-PA-10002416"/>
    <x v="0"/>
    <s v="Paper"/>
    <s v="Xerox Memo Slips, 8.5 x 11"/>
    <n v="29.155500000000007"/>
    <n v="3"/>
    <n v="0.45"/>
    <n v="-22.3245"/>
    <n v="1.61"/>
    <s v="High"/>
  </r>
  <r>
    <n v="28977"/>
    <s v="ID-2011-69772"/>
    <d v="2013-05-20T00:00:00"/>
    <d v="2013-05-27T00:00:00"/>
    <s v="Standard Class"/>
    <s v="MA-17560"/>
    <s v="Matt Abelman"/>
    <x v="0"/>
    <x v="0"/>
    <x v="0"/>
    <x v="0"/>
    <m/>
    <s v="APAC"/>
    <s v="Southeast Asia"/>
    <s v="OFF-AR-10002847"/>
    <x v="0"/>
    <s v="Art"/>
    <s v="Stanley Pens, Water Color"/>
    <n v="29.106000000000002"/>
    <n v="4"/>
    <n v="0.45"/>
    <n v="-16.494"/>
    <n v="3.15"/>
    <s v="Medium"/>
  </r>
  <r>
    <n v="20475"/>
    <s v="ID-2012-61722"/>
    <d v="2014-11-13T00:00:00"/>
    <d v="2014-11-16T00:00:00"/>
    <s v="First Class"/>
    <s v="TC-21145"/>
    <s v="Theresa Coyne"/>
    <x v="1"/>
    <x v="0"/>
    <x v="0"/>
    <x v="0"/>
    <m/>
    <s v="APAC"/>
    <s v="Southeast Asia"/>
    <s v="OFF-AR-10000762"/>
    <x v="0"/>
    <s v="Art"/>
    <s v="BIC Pens, Water Color"/>
    <n v="28.809000000000005"/>
    <n v="3"/>
    <n v="0.45"/>
    <n v="-10.521000000000003"/>
    <n v="2.0099999999999998"/>
    <s v="Medium"/>
  </r>
  <r>
    <n v="21657"/>
    <s v="IN-2012-58754"/>
    <d v="2014-07-26T00:00:00"/>
    <d v="2014-07-26T00:00:00"/>
    <s v="Same Day"/>
    <s v="SW-20755"/>
    <s v="Steven Ward"/>
    <x v="1"/>
    <x v="0"/>
    <x v="0"/>
    <x v="0"/>
    <m/>
    <s v="APAC"/>
    <s v="Southeast Asia"/>
    <s v="OFF-EN-10000454"/>
    <x v="0"/>
    <s v="Envelopes"/>
    <s v="GlobeWeis Business Envelopes, Set of 50"/>
    <n v="28.611000000000004"/>
    <n v="3"/>
    <n v="0.45"/>
    <n v="-23.408999999999999"/>
    <n v="5.05"/>
    <s v="Medium"/>
  </r>
  <r>
    <n v="24832"/>
    <s v="ID-2014-51467"/>
    <d v="2016-03-24T00:00:00"/>
    <d v="2016-03-30T00:00:00"/>
    <s v="Standard Class"/>
    <s v="LR-17035"/>
    <s v="Lisa Ryan"/>
    <x v="1"/>
    <x v="9"/>
    <x v="2"/>
    <x v="0"/>
    <m/>
    <s v="APAC"/>
    <s v="Southeast Asia"/>
    <s v="OFF-AR-10002417"/>
    <x v="0"/>
    <s v="Art"/>
    <s v="Boston Sketch Pad, Water Color"/>
    <n v="28.479000000000003"/>
    <n v="1"/>
    <n v="0.45"/>
    <n v="-17.631"/>
    <n v="1.97"/>
    <s v="Medium"/>
  </r>
  <r>
    <n v="21451"/>
    <s v="IN-2012-67490"/>
    <d v="2014-11-08T00:00:00"/>
    <d v="2014-11-13T00:00:00"/>
    <s v="Standard Class"/>
    <s v="GM-14695"/>
    <s v="Greg Maxwell"/>
    <x v="1"/>
    <x v="13"/>
    <x v="0"/>
    <x v="0"/>
    <m/>
    <s v="APAC"/>
    <s v="Southeast Asia"/>
    <s v="OFF-BI-10004224"/>
    <x v="0"/>
    <s v="Binders"/>
    <s v="Avery Index Tab, Durable"/>
    <n v="28.432499999999997"/>
    <n v="5"/>
    <n v="0.15000000000000002"/>
    <n v="1.2824999999999998"/>
    <n v="1.35"/>
    <s v="Medium"/>
  </r>
  <r>
    <n v="28727"/>
    <s v="IN-2014-19925"/>
    <d v="2016-10-09T00:00:00"/>
    <d v="2016-10-14T00:00:00"/>
    <s v="Standard Class"/>
    <s v="AF-10885"/>
    <s v="Art Foster"/>
    <x v="2"/>
    <x v="0"/>
    <x v="0"/>
    <x v="0"/>
    <m/>
    <s v="APAC"/>
    <s v="Southeast Asia"/>
    <s v="OFF-PA-10002479"/>
    <x v="0"/>
    <s v="Paper"/>
    <s v="Enermax Cards &amp; Envelopes, 8.5 x 11"/>
    <n v="28.182000000000006"/>
    <n v="1"/>
    <n v="0.45"/>
    <n v="1.5119999999999969"/>
    <n v="2.6"/>
    <s v="Medium"/>
  </r>
  <r>
    <n v="20927"/>
    <s v="IN-2014-49549"/>
    <d v="2016-09-27T00:00:00"/>
    <d v="2016-10-04T00:00:00"/>
    <s v="Standard Class"/>
    <s v="TS-21430"/>
    <s v="Tom Stivers"/>
    <x v="1"/>
    <x v="0"/>
    <x v="0"/>
    <x v="0"/>
    <m/>
    <s v="APAC"/>
    <s v="Southeast Asia"/>
    <s v="FUR-FU-10002665"/>
    <x v="2"/>
    <s v="Furnishings"/>
    <s v="Advantus Light Bulb, Erganomic"/>
    <n v="28.034999999999997"/>
    <n v="2"/>
    <n v="0.25"/>
    <n v="5.1750000000000007"/>
    <n v="0.67"/>
    <s v="Medium"/>
  </r>
  <r>
    <n v="21124"/>
    <s v="ID-2014-54792"/>
    <d v="2016-12-10T00:00:00"/>
    <d v="2016-12-14T00:00:00"/>
    <s v="Second Class"/>
    <s v="CG-12040"/>
    <s v="Catherine Glotzbach"/>
    <x v="0"/>
    <x v="0"/>
    <x v="0"/>
    <x v="0"/>
    <m/>
    <s v="APAC"/>
    <s v="Southeast Asia"/>
    <s v="OFF-AR-10003957"/>
    <x v="0"/>
    <s v="Art"/>
    <s v="Stanley Canvas, Fluorescent"/>
    <n v="27.901500000000006"/>
    <n v="1"/>
    <n v="0.45"/>
    <n v="-9.6585000000000036"/>
    <n v="3.44"/>
    <s v="High"/>
  </r>
  <r>
    <n v="29777"/>
    <s v="ID-2014-31440"/>
    <d v="2016-08-28T00:00:00"/>
    <d v="2016-09-01T00:00:00"/>
    <s v="Standard Class"/>
    <s v="AA-10480"/>
    <s v="Andrew Allen"/>
    <x v="2"/>
    <x v="5"/>
    <x v="0"/>
    <x v="0"/>
    <m/>
    <s v="APAC"/>
    <s v="Southeast Asia"/>
    <s v="OFF-EN-10002434"/>
    <x v="0"/>
    <s v="Envelopes"/>
    <s v="Kraft Manila Envelope, Recycled"/>
    <n v="27.819000000000003"/>
    <n v="2"/>
    <n v="0.45"/>
    <n v="-7.1009999999999991"/>
    <n v="2.66"/>
    <s v="High"/>
  </r>
  <r>
    <n v="21439"/>
    <s v="ID-2011-58670"/>
    <d v="2013-01-07T00:00:00"/>
    <d v="2013-01-11T00:00:00"/>
    <s v="Standard Class"/>
    <s v="MS-17365"/>
    <s v="Maribeth Schnelling"/>
    <x v="2"/>
    <x v="0"/>
    <x v="0"/>
    <x v="0"/>
    <m/>
    <s v="APAC"/>
    <s v="Southeast Asia"/>
    <s v="OFF-AR-10003684"/>
    <x v="0"/>
    <s v="Art"/>
    <s v="BIC Sketch Pad, Fluorescent"/>
    <n v="27.456000000000003"/>
    <n v="1"/>
    <n v="0.45"/>
    <n v="-4.4940000000000033"/>
    <n v="3.21"/>
    <s v="High"/>
  </r>
  <r>
    <n v="21284"/>
    <s v="ID-2014-57501"/>
    <d v="2016-06-19T00:00:00"/>
    <d v="2016-06-22T00:00:00"/>
    <s v="First Class"/>
    <s v="DM-13015"/>
    <s v="Darrin Martin"/>
    <x v="2"/>
    <x v="0"/>
    <x v="0"/>
    <x v="0"/>
    <m/>
    <s v="APAC"/>
    <s v="Southeast Asia"/>
    <s v="OFF-BI-10001324"/>
    <x v="0"/>
    <s v="Binders"/>
    <s v="Ibico Hole Reinforcements, Clear"/>
    <n v="27.412499999999994"/>
    <n v="5"/>
    <n v="0.15000000000000002"/>
    <n v="-1.3875000000000002"/>
    <n v="6.97"/>
    <s v="Medium"/>
  </r>
  <r>
    <n v="20932"/>
    <s v="IN-2014-49549"/>
    <d v="2016-09-27T00:00:00"/>
    <d v="2016-10-04T00:00:00"/>
    <s v="Standard Class"/>
    <s v="TS-21430"/>
    <s v="Tom Stivers"/>
    <x v="1"/>
    <x v="0"/>
    <x v="0"/>
    <x v="0"/>
    <m/>
    <s v="APAC"/>
    <s v="Southeast Asia"/>
    <s v="OFF-AR-10002392"/>
    <x v="0"/>
    <s v="Art"/>
    <s v="Binney &amp; Smith Highlighters, Blue"/>
    <n v="27.3735"/>
    <n v="3"/>
    <n v="0.45"/>
    <n v="-19.426499999999997"/>
    <n v="1.72"/>
    <s v="Medium"/>
  </r>
  <r>
    <n v="25196"/>
    <s v="IN-2014-48121"/>
    <d v="2016-02-18T00:00:00"/>
    <d v="2016-02-20T00:00:00"/>
    <s v="First Class"/>
    <s v="CM-12160"/>
    <s v="Charles McCrossin"/>
    <x v="2"/>
    <x v="8"/>
    <x v="4"/>
    <x v="0"/>
    <m/>
    <s v="APAC"/>
    <s v="Southeast Asia"/>
    <s v="OFF-ST-10003810"/>
    <x v="0"/>
    <s v="Storage"/>
    <s v="Tenex Box, Single Width"/>
    <n v="27.274500000000003"/>
    <n v="3"/>
    <n v="0.45"/>
    <n v="-5.035499999999999"/>
    <n v="5.96"/>
    <s v="High"/>
  </r>
  <r>
    <n v="26256"/>
    <s v="ID-2014-28066"/>
    <d v="2016-09-01T00:00:00"/>
    <d v="2016-09-05T00:00:00"/>
    <s v="Standard Class"/>
    <s v="CS-11950"/>
    <s v="Carlos Soltero"/>
    <x v="2"/>
    <x v="0"/>
    <x v="0"/>
    <x v="0"/>
    <m/>
    <s v="APAC"/>
    <s v="Southeast Asia"/>
    <s v="OFF-AR-10002727"/>
    <x v="0"/>
    <s v="Art"/>
    <s v="Stanley Pencil Sharpener, Fluorescent"/>
    <n v="27.258000000000003"/>
    <n v="2"/>
    <n v="0.45"/>
    <n v="-8.4420000000000037"/>
    <n v="2.33"/>
    <s v="Medium"/>
  </r>
  <r>
    <n v="20464"/>
    <s v="ID-2014-74462"/>
    <d v="2016-12-23T00:00:00"/>
    <d v="2016-12-25T00:00:00"/>
    <s v="Second Class"/>
    <s v="MC-17845"/>
    <s v="Michael Chen"/>
    <x v="2"/>
    <x v="0"/>
    <x v="0"/>
    <x v="0"/>
    <m/>
    <s v="APAC"/>
    <s v="Southeast Asia"/>
    <s v="OFF-AR-10000681"/>
    <x v="0"/>
    <s v="Art"/>
    <s v="Binney &amp; Smith Sketch Pad, Water Color"/>
    <n v="27.225000000000001"/>
    <n v="1"/>
    <n v="0.45"/>
    <n v="-15.345000000000002"/>
    <n v="0.76"/>
    <s v="Medium"/>
  </r>
  <r>
    <n v="22014"/>
    <s v="ID-2013-16306"/>
    <d v="2015-10-18T00:00:00"/>
    <d v="2015-10-23T00:00:00"/>
    <s v="Second Class"/>
    <s v="CS-11950"/>
    <s v="Carlos Soltero"/>
    <x v="2"/>
    <x v="4"/>
    <x v="2"/>
    <x v="0"/>
    <m/>
    <s v="APAC"/>
    <s v="Southeast Asia"/>
    <s v="OFF-ST-10004668"/>
    <x v="0"/>
    <s v="Storage"/>
    <s v="Smead Trays, Industrial"/>
    <n v="26.928000000000004"/>
    <n v="1"/>
    <n v="0.45"/>
    <n v="-14.202"/>
    <n v="3.4"/>
    <s v="Medium"/>
  </r>
  <r>
    <n v="22264"/>
    <s v="ID-2013-63640"/>
    <d v="2015-05-08T00:00:00"/>
    <d v="2015-05-10T00:00:00"/>
    <s v="First Class"/>
    <s v="RB-19330"/>
    <s v="Randy Bradley"/>
    <x v="2"/>
    <x v="0"/>
    <x v="0"/>
    <x v="0"/>
    <m/>
    <s v="APAC"/>
    <s v="Southeast Asia"/>
    <s v="OFF-SU-10002547"/>
    <x v="0"/>
    <s v="Supplies"/>
    <s v="Acme Ruler, Steel"/>
    <n v="26.581499999999998"/>
    <n v="3"/>
    <n v="0.45"/>
    <n v="-16.438499999999998"/>
    <n v="6.66"/>
    <s v="Critical"/>
  </r>
  <r>
    <n v="22705"/>
    <s v="IN-2014-21619"/>
    <d v="2016-01-22T00:00:00"/>
    <d v="2016-01-27T00:00:00"/>
    <s v="Standard Class"/>
    <s v="CM-12445"/>
    <s v="Chuck Magee"/>
    <x v="2"/>
    <x v="0"/>
    <x v="0"/>
    <x v="0"/>
    <m/>
    <s v="APAC"/>
    <s v="Southeast Asia"/>
    <s v="OFF-FA-10001621"/>
    <x v="0"/>
    <s v="Fasteners"/>
    <s v="Accos Rubber Bands, 12 Pack"/>
    <n v="26.581499999999998"/>
    <n v="3"/>
    <n v="0.45"/>
    <n v="-14.548499999999999"/>
    <n v="1.98"/>
    <s v="Medium"/>
  </r>
  <r>
    <n v="23585"/>
    <s v="ID-2011-74091"/>
    <d v="2013-04-25T00:00:00"/>
    <d v="2013-05-01T00:00:00"/>
    <s v="Standard Class"/>
    <s v="IG-15085"/>
    <s v="Ivan Gibson"/>
    <x v="2"/>
    <x v="4"/>
    <x v="2"/>
    <x v="0"/>
    <m/>
    <s v="APAC"/>
    <s v="Southeast Asia"/>
    <s v="OFF-ST-10000078"/>
    <x v="0"/>
    <s v="Storage"/>
    <s v="Eldon Trays, Single Width"/>
    <n v="26.400000000000002"/>
    <n v="1"/>
    <n v="0.45"/>
    <n v="-18.240000000000002"/>
    <n v="1.62"/>
    <s v="Medium"/>
  </r>
  <r>
    <n v="21148"/>
    <s v="ID-2012-51369"/>
    <d v="2014-10-06T00:00:00"/>
    <d v="2014-10-11T00:00:00"/>
    <s v="Standard Class"/>
    <s v="SZ-20035"/>
    <s v="Sam Zeldin"/>
    <x v="0"/>
    <x v="13"/>
    <x v="0"/>
    <x v="0"/>
    <m/>
    <s v="APAC"/>
    <s v="Southeast Asia"/>
    <s v="OFF-PA-10000694"/>
    <x v="0"/>
    <s v="Paper"/>
    <s v="Green Bar Message Books, Premium"/>
    <n v="26.169"/>
    <n v="2"/>
    <n v="0.45"/>
    <n v="-6.2310000000000016"/>
    <n v="2.17"/>
    <s v="High"/>
  </r>
  <r>
    <n v="26265"/>
    <s v="IN-2014-63192"/>
    <d v="2016-03-26T00:00:00"/>
    <d v="2016-03-26T00:00:00"/>
    <s v="Same Day"/>
    <s v="DB-13660"/>
    <s v="Duane Benoit"/>
    <x v="2"/>
    <x v="0"/>
    <x v="0"/>
    <x v="0"/>
    <m/>
    <s v="APAC"/>
    <s v="Southeast Asia"/>
    <s v="OFF-SU-10004008"/>
    <x v="0"/>
    <s v="Supplies"/>
    <s v="Kleencut Letter Opener, Steel"/>
    <n v="26.135999999999999"/>
    <n v="2"/>
    <n v="0.45"/>
    <n v="2.3759999999999977"/>
    <n v="3.65"/>
    <s v="High"/>
  </r>
  <r>
    <n v="26310"/>
    <s v="IN-2013-40078"/>
    <d v="2015-12-10T00:00:00"/>
    <d v="2015-12-15T00:00:00"/>
    <s v="Standard Class"/>
    <s v="BE-11410"/>
    <s v="Bobby Elias"/>
    <x v="2"/>
    <x v="0"/>
    <x v="0"/>
    <x v="0"/>
    <m/>
    <s v="APAC"/>
    <s v="Southeast Asia"/>
    <s v="OFF-AR-10001073"/>
    <x v="0"/>
    <s v="Art"/>
    <s v="Sanford Markers, Easy-Erase"/>
    <n v="25.872"/>
    <n v="2"/>
    <n v="0.45"/>
    <n v="-3.7680000000000007"/>
    <n v="0.83"/>
    <s v="Medium"/>
  </r>
  <r>
    <n v="22450"/>
    <s v="IN-2013-65166"/>
    <d v="2015-05-07T00:00:00"/>
    <d v="2015-05-09T00:00:00"/>
    <s v="First Class"/>
    <s v="LP-17095"/>
    <s v="Liz Preis"/>
    <x v="2"/>
    <x v="4"/>
    <x v="2"/>
    <x v="0"/>
    <m/>
    <s v="APAC"/>
    <s v="Southeast Asia"/>
    <s v="OFF-BI-10003031"/>
    <x v="0"/>
    <s v="Binders"/>
    <s v="Acco Index Tab, Economy"/>
    <n v="25.704000000000001"/>
    <n v="3"/>
    <n v="0.15000000000000002"/>
    <n v="5.7239999999999993"/>
    <n v="4.92"/>
    <s v="Critical"/>
  </r>
  <r>
    <n v="22028"/>
    <s v="ID-2011-72096"/>
    <d v="2013-04-01T00:00:00"/>
    <d v="2013-04-05T00:00:00"/>
    <s v="Standard Class"/>
    <s v="PA-19060"/>
    <s v="Pete Armstrong"/>
    <x v="0"/>
    <x v="0"/>
    <x v="0"/>
    <x v="0"/>
    <m/>
    <s v="APAC"/>
    <s v="Southeast Asia"/>
    <s v="OFF-ST-10003319"/>
    <x v="0"/>
    <s v="Storage"/>
    <s v="Rogers Box, Wire Frame"/>
    <n v="25.344000000000001"/>
    <n v="2"/>
    <n v="0.45"/>
    <n v="-6.0359999999999996"/>
    <n v="2.99"/>
    <s v="High"/>
  </r>
  <r>
    <n v="24436"/>
    <s v="ID-2014-74238"/>
    <d v="2016-02-17T00:00:00"/>
    <d v="2016-02-18T00:00:00"/>
    <s v="First Class"/>
    <s v="KH-16510"/>
    <s v="Keith Herrera"/>
    <x v="2"/>
    <x v="8"/>
    <x v="4"/>
    <x v="0"/>
    <m/>
    <s v="APAC"/>
    <s v="Southeast Asia"/>
    <s v="OFF-BI-10002243"/>
    <x v="0"/>
    <s v="Binders"/>
    <s v="Wilson Jones 3-Hole Punch, Durable"/>
    <n v="25.066500000000001"/>
    <n v="1"/>
    <n v="0.15000000000000002"/>
    <n v="8.2364999999999995"/>
    <n v="0.68"/>
    <s v="High"/>
  </r>
  <r>
    <n v="20765"/>
    <s v="IN-2011-52587"/>
    <d v="2013-08-04T00:00:00"/>
    <d v="2013-08-10T00:00:00"/>
    <s v="Standard Class"/>
    <s v="RB-19435"/>
    <s v="Richard Bierner"/>
    <x v="2"/>
    <x v="13"/>
    <x v="0"/>
    <x v="0"/>
    <m/>
    <s v="APAC"/>
    <s v="Southeast Asia"/>
    <s v="OFF-LA-10003141"/>
    <x v="0"/>
    <s v="Labels"/>
    <s v="Hon Shipping Labels, Laser Printer Compatible"/>
    <n v="25.014000000000003"/>
    <n v="4"/>
    <n v="0.45"/>
    <n v="2.2139999999999986"/>
    <n v="1.64"/>
    <s v="Medium"/>
  </r>
  <r>
    <n v="29071"/>
    <s v="ID-2012-23775"/>
    <d v="2014-09-26T00:00:00"/>
    <d v="2014-09-30T00:00:00"/>
    <s v="Standard Class"/>
    <s v="LE-16810"/>
    <s v="Laurel Elliston"/>
    <x v="2"/>
    <x v="0"/>
    <x v="0"/>
    <x v="0"/>
    <m/>
    <s v="APAC"/>
    <s v="Southeast Asia"/>
    <s v="OFF-LA-10001764"/>
    <x v="0"/>
    <s v="Labels"/>
    <s v="Avery Round Labels, Adjustable"/>
    <n v="24.948"/>
    <n v="9"/>
    <n v="0.45"/>
    <n v="-18.252000000000002"/>
    <n v="1.22"/>
    <s v="High"/>
  </r>
  <r>
    <n v="26556"/>
    <s v="IN-2013-17958"/>
    <d v="2015-03-30T00:00:00"/>
    <d v="2015-04-06T00:00:00"/>
    <s v="Standard Class"/>
    <s v="RP-19855"/>
    <s v="Roy Phan"/>
    <x v="1"/>
    <x v="0"/>
    <x v="0"/>
    <x v="0"/>
    <m/>
    <s v="APAC"/>
    <s v="Southeast Asia"/>
    <s v="OFF-FA-10001650"/>
    <x v="0"/>
    <s v="Fasteners"/>
    <s v="OIC Push Pins, Metal"/>
    <n v="24.799500000000002"/>
    <n v="3"/>
    <n v="0.45"/>
    <n v="0.85950000000000415"/>
    <n v="1.95"/>
    <s v="Medium"/>
  </r>
  <r>
    <n v="27410"/>
    <s v="IN-2011-77885"/>
    <d v="2013-08-01T00:00:00"/>
    <d v="2013-08-06T00:00:00"/>
    <s v="Standard Class"/>
    <s v="JF-15565"/>
    <s v="Jill Fjeld"/>
    <x v="2"/>
    <x v="0"/>
    <x v="0"/>
    <x v="0"/>
    <m/>
    <s v="APAC"/>
    <s v="Southeast Asia"/>
    <s v="OFF-PA-10000048"/>
    <x v="0"/>
    <s v="Paper"/>
    <s v="Xerox Memo Slips, Multicolor"/>
    <n v="24.651000000000003"/>
    <n v="3"/>
    <n v="0.45"/>
    <n v="-19.359000000000005"/>
    <n v="1.94"/>
    <s v="Medium"/>
  </r>
  <r>
    <n v="25338"/>
    <s v="ID-2013-78298"/>
    <d v="2015-11-07T00:00:00"/>
    <d v="2015-11-11T00:00:00"/>
    <s v="Standard Class"/>
    <s v="CK-12205"/>
    <s v="Chloris Kastensmidt"/>
    <x v="2"/>
    <x v="0"/>
    <x v="0"/>
    <x v="0"/>
    <m/>
    <s v="APAC"/>
    <s v="Southeast Asia"/>
    <s v="OFF-LA-10003215"/>
    <x v="0"/>
    <s v="Labels"/>
    <s v="Smead File Folder Labels, Laser Printer Compatible"/>
    <n v="24.419999999999998"/>
    <n v="5"/>
    <n v="0.45"/>
    <n v="-10.229999999999997"/>
    <n v="3.66"/>
    <s v="High"/>
  </r>
  <r>
    <n v="24119"/>
    <s v="ID-2014-20128"/>
    <d v="2016-11-26T00:00:00"/>
    <d v="2016-12-02T00:00:00"/>
    <s v="Standard Class"/>
    <s v="BE-11335"/>
    <s v="Bill Eplett"/>
    <x v="0"/>
    <x v="13"/>
    <x v="0"/>
    <x v="0"/>
    <m/>
    <s v="APAC"/>
    <s v="Southeast Asia"/>
    <s v="OFF-FA-10000353"/>
    <x v="0"/>
    <s v="Fasteners"/>
    <s v="Accos Staples, Metal"/>
    <n v="24.354000000000003"/>
    <n v="4"/>
    <n v="0.45"/>
    <n v="-19.566000000000003"/>
    <n v="1.81"/>
    <s v="Medium"/>
  </r>
  <r>
    <n v="24487"/>
    <s v="ID-2011-42031"/>
    <d v="2013-05-02T00:00:00"/>
    <d v="2013-05-07T00:00:00"/>
    <s v="Standard Class"/>
    <s v="PL-18925"/>
    <s v="Paul Lucas"/>
    <x v="0"/>
    <x v="13"/>
    <x v="0"/>
    <x v="0"/>
    <m/>
    <s v="APAC"/>
    <s v="Southeast Asia"/>
    <s v="OFF-FA-10001521"/>
    <x v="0"/>
    <s v="Fasteners"/>
    <s v="Stockwell Thumb Tacks, Assorted Sizes"/>
    <n v="24.156000000000002"/>
    <n v="4"/>
    <n v="0.45"/>
    <n v="-11.484000000000004"/>
    <n v="2.83"/>
    <s v="High"/>
  </r>
  <r>
    <n v="25135"/>
    <s v="ID-2013-53224"/>
    <d v="2015-06-21T00:00:00"/>
    <d v="2015-06-22T00:00:00"/>
    <s v="First Class"/>
    <s v="AB-10060"/>
    <s v="Adam Bellavance"/>
    <x v="0"/>
    <x v="13"/>
    <x v="0"/>
    <x v="0"/>
    <m/>
    <s v="APAC"/>
    <s v="Southeast Asia"/>
    <s v="OFF-AR-10001134"/>
    <x v="0"/>
    <s v="Art"/>
    <s v="Boston Pens, Easy-Erase"/>
    <n v="23.908500000000004"/>
    <n v="3"/>
    <n v="0.45"/>
    <n v="-15.241500000000002"/>
    <n v="4.32"/>
    <s v="High"/>
  </r>
  <r>
    <n v="23416"/>
    <s v="IN-2014-54547"/>
    <d v="2016-02-14T00:00:00"/>
    <d v="2016-02-19T00:00:00"/>
    <s v="Standard Class"/>
    <s v="TB-21400"/>
    <s v="Tom Boeckenhauer"/>
    <x v="2"/>
    <x v="0"/>
    <x v="0"/>
    <x v="0"/>
    <m/>
    <s v="APAC"/>
    <s v="Southeast Asia"/>
    <s v="OFF-BI-10000721"/>
    <x v="0"/>
    <s v="Binders"/>
    <s v="Ibico Binder Covers, Recycled"/>
    <n v="23.817"/>
    <n v="2"/>
    <n v="0.15000000000000002"/>
    <n v="-3.1230000000000002"/>
    <n v="2.19"/>
    <s v="Medium"/>
  </r>
  <r>
    <n v="27029"/>
    <s v="ID-2014-65824"/>
    <d v="2016-01-07T00:00:00"/>
    <d v="2016-01-11T00:00:00"/>
    <s v="Standard Class"/>
    <s v="AA-10315"/>
    <s v="Alex Avila"/>
    <x v="2"/>
    <x v="8"/>
    <x v="4"/>
    <x v="0"/>
    <m/>
    <s v="APAC"/>
    <s v="Southeast Asia"/>
    <s v="OFF-LA-10001312"/>
    <x v="0"/>
    <s v="Labels"/>
    <s v="Hon File Folder Labels, Laser Printer Compatible"/>
    <n v="23.760000000000005"/>
    <n v="5"/>
    <n v="0.45"/>
    <n v="-10.440000000000001"/>
    <n v="2.84"/>
    <s v="Medium"/>
  </r>
  <r>
    <n v="21727"/>
    <s v="IN-2013-31083"/>
    <d v="2015-11-01T00:00:00"/>
    <d v="2015-11-07T00:00:00"/>
    <s v="Standard Class"/>
    <s v="RP-19270"/>
    <s v="Rachel Payne"/>
    <x v="1"/>
    <x v="0"/>
    <x v="0"/>
    <x v="0"/>
    <m/>
    <s v="APAC"/>
    <s v="Southeast Asia"/>
    <s v="OFF-BI-10002792"/>
    <x v="0"/>
    <s v="Binders"/>
    <s v="Ibico Index Tab, Durable"/>
    <n v="23.638499999999997"/>
    <n v="3"/>
    <n v="0.15000000000000002"/>
    <n v="2.7584999999999997"/>
    <n v="2.56"/>
    <s v="Low"/>
  </r>
  <r>
    <n v="24944"/>
    <s v="ID-2014-46518"/>
    <d v="2016-07-25T00:00:00"/>
    <d v="2016-07-30T00:00:00"/>
    <s v="Standard Class"/>
    <s v="JE-16165"/>
    <s v="Justin Ellison"/>
    <x v="1"/>
    <x v="0"/>
    <x v="0"/>
    <x v="0"/>
    <m/>
    <s v="APAC"/>
    <s v="Southeast Asia"/>
    <s v="OFF-ST-10002714"/>
    <x v="0"/>
    <s v="Storage"/>
    <s v="Eldon Box, Industrial"/>
    <n v="23.628"/>
    <n v="4"/>
    <n v="0.45"/>
    <n v="-1.8119999999999976"/>
    <n v="3.15"/>
    <s v="High"/>
  </r>
  <r>
    <n v="25608"/>
    <s v="ID-2011-30922"/>
    <d v="2013-11-28T00:00:00"/>
    <d v="2013-12-03T00:00:00"/>
    <s v="Standard Class"/>
    <s v="AG-10330"/>
    <s v="Alex Grayson"/>
    <x v="2"/>
    <x v="11"/>
    <x v="2"/>
    <x v="0"/>
    <m/>
    <s v="APAC"/>
    <s v="Southeast Asia"/>
    <s v="OFF-EN-10002581"/>
    <x v="0"/>
    <s v="Envelopes"/>
    <s v="GlobeWeis Peel and Seal, Set of 50"/>
    <n v="23.529000000000003"/>
    <n v="2"/>
    <n v="0.45"/>
    <n v="-7.7310000000000016"/>
    <n v="0.79"/>
    <s v="Medium"/>
  </r>
  <r>
    <n v="23095"/>
    <s v="ID-2011-66412"/>
    <d v="2013-03-30T00:00:00"/>
    <d v="2013-04-03T00:00:00"/>
    <s v="Standard Class"/>
    <s v="AF-10870"/>
    <s v="Art Ferguson"/>
    <x v="2"/>
    <x v="0"/>
    <x v="0"/>
    <x v="0"/>
    <m/>
    <s v="APAC"/>
    <s v="Southeast Asia"/>
    <s v="OFF-SU-10002448"/>
    <x v="0"/>
    <s v="Supplies"/>
    <s v="Stiletto Trimmer, High Speed"/>
    <n v="23.512500000000006"/>
    <n v="1"/>
    <n v="0.45"/>
    <n v="-11.137500000000003"/>
    <n v="1.8"/>
    <s v="Medium"/>
  </r>
  <r>
    <n v="22552"/>
    <s v="ID-2014-25175"/>
    <d v="2016-09-26T00:00:00"/>
    <d v="2016-10-02T00:00:00"/>
    <s v="Standard Class"/>
    <s v="BB-10990"/>
    <s v="Barry Blumstein"/>
    <x v="1"/>
    <x v="0"/>
    <x v="0"/>
    <x v="0"/>
    <m/>
    <s v="APAC"/>
    <s v="Southeast Asia"/>
    <s v="OFF-LA-10000615"/>
    <x v="0"/>
    <s v="Labels"/>
    <s v="Hon Removable Labels, Adjustable"/>
    <n v="23.43"/>
    <n v="4"/>
    <n v="0.45"/>
    <n v="-8.9699999999999989"/>
    <n v="0.91"/>
    <s v="Medium"/>
  </r>
  <r>
    <n v="28717"/>
    <s v="ID-2014-45083"/>
    <d v="2016-08-16T00:00:00"/>
    <d v="2016-08-19T00:00:00"/>
    <s v="Second Class"/>
    <s v="BD-11620"/>
    <s v="Brian DeCherney"/>
    <x v="2"/>
    <x v="0"/>
    <x v="0"/>
    <x v="0"/>
    <m/>
    <s v="APAC"/>
    <s v="Southeast Asia"/>
    <s v="OFF-PA-10000357"/>
    <x v="0"/>
    <s v="Paper"/>
    <s v="Eaton Memo Slips, Recycled"/>
    <n v="22.522499999999997"/>
    <n v="3"/>
    <n v="0.45"/>
    <n v="2.0025000000000013"/>
    <n v="1.25"/>
    <s v="Medium"/>
  </r>
  <r>
    <n v="22237"/>
    <s v="ID-2014-31125"/>
    <d v="2016-01-09T00:00:00"/>
    <d v="2016-01-14T00:00:00"/>
    <s v="Standard Class"/>
    <s v="BT-11305"/>
    <s v="Beth Thompson"/>
    <x v="0"/>
    <x v="0"/>
    <x v="0"/>
    <x v="0"/>
    <m/>
    <s v="APAC"/>
    <s v="Southeast Asia"/>
    <s v="OFF-FA-10001187"/>
    <x v="0"/>
    <s v="Fasteners"/>
    <s v="Stockwell Paper Clips, Bulk Pack"/>
    <n v="22.473000000000006"/>
    <n v="3"/>
    <n v="0.45"/>
    <n v="-4.527000000000001"/>
    <n v="2.2599999999999998"/>
    <s v="Medium"/>
  </r>
  <r>
    <n v="23539"/>
    <s v="ID-2013-46567"/>
    <d v="2015-07-26T00:00:00"/>
    <d v="2015-07-30T00:00:00"/>
    <s v="Standard Class"/>
    <s v="LE-16810"/>
    <s v="Laurel Elliston"/>
    <x v="2"/>
    <x v="0"/>
    <x v="0"/>
    <x v="0"/>
    <m/>
    <s v="APAC"/>
    <s v="Southeast Asia"/>
    <s v="OFF-FA-10001651"/>
    <x v="0"/>
    <s v="Fasteners"/>
    <s v="Stockwell Thumb Tacks, Bulk Pack"/>
    <n v="22.3245"/>
    <n v="3"/>
    <n v="0.45"/>
    <n v="-7.7355"/>
    <n v="1.84"/>
    <s v="High"/>
  </r>
  <r>
    <n v="26725"/>
    <s v="ID-2013-25742"/>
    <d v="2015-01-28T00:00:00"/>
    <d v="2015-01-30T00:00:00"/>
    <s v="First Class"/>
    <s v="SC-20695"/>
    <s v="Steve Chapman"/>
    <x v="1"/>
    <x v="0"/>
    <x v="0"/>
    <x v="0"/>
    <m/>
    <s v="APAC"/>
    <s v="Southeast Asia"/>
    <s v="OFF-FA-10001026"/>
    <x v="0"/>
    <s v="Fasteners"/>
    <s v="Stockwell Paper Clips, Assorted Sizes"/>
    <n v="22.275000000000002"/>
    <n v="3"/>
    <n v="0.45"/>
    <n v="-14.175000000000001"/>
    <n v="4.22"/>
    <s v="High"/>
  </r>
  <r>
    <n v="25336"/>
    <s v="ID-2013-78298"/>
    <d v="2015-11-07T00:00:00"/>
    <d v="2015-11-11T00:00:00"/>
    <s v="Standard Class"/>
    <s v="CK-12205"/>
    <s v="Chloris Kastensmidt"/>
    <x v="2"/>
    <x v="0"/>
    <x v="0"/>
    <x v="0"/>
    <m/>
    <s v="APAC"/>
    <s v="Southeast Asia"/>
    <s v="OFF-EN-10000615"/>
    <x v="0"/>
    <s v="Envelopes"/>
    <s v="Jiffy Mailers, Security-Tint"/>
    <n v="21.763500000000004"/>
    <n v="1"/>
    <n v="0.45"/>
    <n v="-13.066500000000003"/>
    <n v="0.3"/>
    <s v="High"/>
  </r>
  <r>
    <n v="25610"/>
    <s v="ID-2011-30922"/>
    <d v="2013-11-28T00:00:00"/>
    <d v="2013-12-03T00:00:00"/>
    <s v="Standard Class"/>
    <s v="AG-10330"/>
    <s v="Alex Grayson"/>
    <x v="2"/>
    <x v="11"/>
    <x v="2"/>
    <x v="0"/>
    <m/>
    <s v="APAC"/>
    <s v="Southeast Asia"/>
    <s v="OFF-FA-10001045"/>
    <x v="0"/>
    <s v="Fasteners"/>
    <s v="Stockwell Staples, 12 Pack"/>
    <n v="21.648"/>
    <n v="4"/>
    <n v="0.45"/>
    <n v="-14.591999999999999"/>
    <n v="1.36"/>
    <s v="Medium"/>
  </r>
  <r>
    <n v="27504"/>
    <s v="ID-2013-13562"/>
    <d v="2015-09-03T00:00:00"/>
    <d v="2015-09-08T00:00:00"/>
    <s v="Standard Class"/>
    <s v="DO-13435"/>
    <s v="Denny Ordway"/>
    <x v="2"/>
    <x v="0"/>
    <x v="0"/>
    <x v="0"/>
    <m/>
    <s v="APAC"/>
    <s v="Southeast Asia"/>
    <s v="OFF-ST-10003414"/>
    <x v="0"/>
    <s v="Storage"/>
    <s v="Smead Box, Wire Frame"/>
    <n v="21.648"/>
    <n v="4"/>
    <n v="0.45"/>
    <n v="-12.672000000000001"/>
    <n v="1.32"/>
    <s v="Medium"/>
  </r>
  <r>
    <n v="26726"/>
    <s v="ID-2013-25742"/>
    <d v="2015-01-28T00:00:00"/>
    <d v="2015-01-30T00:00:00"/>
    <s v="First Class"/>
    <s v="SC-20695"/>
    <s v="Steve Chapman"/>
    <x v="1"/>
    <x v="0"/>
    <x v="0"/>
    <x v="0"/>
    <m/>
    <s v="APAC"/>
    <s v="Southeast Asia"/>
    <s v="OFF-FA-10003615"/>
    <x v="0"/>
    <s v="Fasteners"/>
    <s v="Stockwell Staples, Assorted Sizes"/>
    <n v="21.615000000000002"/>
    <n v="5"/>
    <n v="0.45"/>
    <n v="-8.6850000000000023"/>
    <n v="1.96"/>
    <s v="High"/>
  </r>
  <r>
    <n v="24360"/>
    <s v="ID-2013-61442"/>
    <d v="2015-01-15T00:00:00"/>
    <d v="2015-01-21T00:00:00"/>
    <s v="Standard Class"/>
    <s v="JB-16000"/>
    <s v="Joy Bell-"/>
    <x v="2"/>
    <x v="0"/>
    <x v="0"/>
    <x v="0"/>
    <m/>
    <s v="APAC"/>
    <s v="Southeast Asia"/>
    <s v="OFF-BI-10003468"/>
    <x v="0"/>
    <s v="Binders"/>
    <s v="Wilson Jones Binder Covers, Durable"/>
    <n v="21.572999999999997"/>
    <n v="2"/>
    <n v="0.15000000000000002"/>
    <n v="6.0329999999999995"/>
    <n v="2.31"/>
    <s v="Low"/>
  </r>
  <r>
    <n v="28147"/>
    <s v="ID-2013-68841"/>
    <d v="2015-09-03T00:00:00"/>
    <d v="2015-09-08T00:00:00"/>
    <s v="Standard Class"/>
    <s v="SM-20005"/>
    <s v="Sally Matthias"/>
    <x v="2"/>
    <x v="13"/>
    <x v="0"/>
    <x v="0"/>
    <m/>
    <s v="APAC"/>
    <s v="Southeast Asia"/>
    <s v="FUR-FU-10003214"/>
    <x v="2"/>
    <s v="Furnishings"/>
    <s v="Eldon Stacking Tray, Durable"/>
    <n v="21.397500000000001"/>
    <n v="1"/>
    <n v="0.25"/>
    <n v="0.54749999999999943"/>
    <n v="2.99"/>
    <s v="High"/>
  </r>
  <r>
    <n v="21454"/>
    <s v="IN-2012-67490"/>
    <d v="2014-11-08T00:00:00"/>
    <d v="2014-11-13T00:00:00"/>
    <s v="Standard Class"/>
    <s v="GM-14695"/>
    <s v="Greg Maxwell"/>
    <x v="1"/>
    <x v="13"/>
    <x v="0"/>
    <x v="0"/>
    <m/>
    <s v="APAC"/>
    <s v="Southeast Asia"/>
    <s v="OFF-FA-10000294"/>
    <x v="0"/>
    <s v="Fasteners"/>
    <s v="Advantus Clamps, Metal"/>
    <n v="21.351000000000006"/>
    <n v="2"/>
    <n v="0.45"/>
    <n v="-7.3890000000000047"/>
    <n v="1.51"/>
    <s v="Medium"/>
  </r>
  <r>
    <n v="25840"/>
    <s v="ID-2013-50347"/>
    <d v="2015-08-28T00:00:00"/>
    <d v="2015-09-04T00:00:00"/>
    <s v="Standard Class"/>
    <s v="SP-20620"/>
    <s v="Stefania Perrino"/>
    <x v="1"/>
    <x v="15"/>
    <x v="0"/>
    <x v="0"/>
    <m/>
    <s v="APAC"/>
    <s v="Southeast Asia"/>
    <s v="OFF-EN-10001029"/>
    <x v="0"/>
    <s v="Envelopes"/>
    <s v="Cameo Business Envelopes, Recycled"/>
    <n v="21.285000000000004"/>
    <n v="2"/>
    <n v="0.45"/>
    <n v="-17.055000000000003"/>
    <n v="3.28"/>
    <s v="Low"/>
  </r>
  <r>
    <n v="26407"/>
    <s v="ID-2013-71522"/>
    <d v="2015-01-15T00:00:00"/>
    <d v="2015-01-21T00:00:00"/>
    <s v="Standard Class"/>
    <s v="TA-21385"/>
    <s v="Tom Ashbrook"/>
    <x v="0"/>
    <x v="0"/>
    <x v="0"/>
    <x v="0"/>
    <m/>
    <s v="APAC"/>
    <s v="Southeast Asia"/>
    <s v="OFF-FA-10002459"/>
    <x v="0"/>
    <s v="Fasteners"/>
    <s v="Advantus Clamps, Bulk Pack"/>
    <n v="21.219000000000005"/>
    <n v="2"/>
    <n v="0.45"/>
    <n v="-1.9410000000000061"/>
    <n v="3.13"/>
    <s v="Low"/>
  </r>
  <r>
    <n v="21804"/>
    <s v="ID-2014-76856"/>
    <d v="2016-03-14T00:00:00"/>
    <d v="2016-03-19T00:00:00"/>
    <s v="Standard Class"/>
    <s v="BE-11455"/>
    <s v="Brad Eason"/>
    <x v="0"/>
    <x v="0"/>
    <x v="0"/>
    <x v="0"/>
    <m/>
    <s v="APAC"/>
    <s v="Southeast Asia"/>
    <s v="TEC-AC-10004252"/>
    <x v="1"/>
    <s v="Accessories"/>
    <s v="SanDisk Mouse, Bluetooth"/>
    <n v="21.070500000000003"/>
    <n v="1"/>
    <n v="0.45"/>
    <n v="-16.879500000000004"/>
    <n v="1.07"/>
    <s v="Medium"/>
  </r>
  <r>
    <n v="21523"/>
    <s v="IN-2014-72103"/>
    <d v="2016-07-17T00:00:00"/>
    <d v="2016-07-21T00:00:00"/>
    <s v="Standard Class"/>
    <s v="AG-10495"/>
    <s v="Andrew Gjertsen"/>
    <x v="1"/>
    <x v="0"/>
    <x v="0"/>
    <x v="0"/>
    <m/>
    <s v="APAC"/>
    <s v="Southeast Asia"/>
    <s v="OFF-BI-10000698"/>
    <x v="0"/>
    <s v="Binders"/>
    <s v="Wilson Jones Hole Reinforcements, Recycled"/>
    <n v="20.782500000000002"/>
    <n v="5"/>
    <n v="0.15000000000000002"/>
    <n v="4.8825000000000003"/>
    <n v="2.58"/>
    <s v="Medium"/>
  </r>
  <r>
    <n v="25585"/>
    <s v="ID-2014-48996"/>
    <d v="2016-11-04T00:00:00"/>
    <d v="2016-11-06T00:00:00"/>
    <s v="First Class"/>
    <s v="EM-13960"/>
    <s v="Eric Murdock"/>
    <x v="2"/>
    <x v="13"/>
    <x v="0"/>
    <x v="0"/>
    <m/>
    <s v="APAC"/>
    <s v="Southeast Asia"/>
    <s v="OFF-EN-10002425"/>
    <x v="0"/>
    <s v="Envelopes"/>
    <s v="Ames Peel and Seal, Set of 50"/>
    <n v="20.559000000000005"/>
    <n v="2"/>
    <n v="0.45"/>
    <n v="-15.741000000000001"/>
    <n v="4.26"/>
    <s v="High"/>
  </r>
  <r>
    <n v="28920"/>
    <s v="IN-2013-37446"/>
    <d v="2015-08-07T00:00:00"/>
    <d v="2015-08-11T00:00:00"/>
    <s v="Second Class"/>
    <s v="RH-19555"/>
    <s v="Ritsa Hightower"/>
    <x v="2"/>
    <x v="9"/>
    <x v="2"/>
    <x v="0"/>
    <m/>
    <s v="APAC"/>
    <s v="Southeast Asia"/>
    <s v="OFF-EN-10004526"/>
    <x v="0"/>
    <s v="Envelopes"/>
    <s v="GlobeWeis Mailers, Recycled"/>
    <n v="20.542499999999997"/>
    <n v="1"/>
    <n v="0.45"/>
    <n v="-7.5000000000002842E-3"/>
    <n v="1.3"/>
    <s v="Medium"/>
  </r>
  <r>
    <n v="25607"/>
    <s v="ID-2011-30922"/>
    <d v="2013-11-28T00:00:00"/>
    <d v="2013-12-03T00:00:00"/>
    <s v="Standard Class"/>
    <s v="AG-10330"/>
    <s v="Alex Grayson"/>
    <x v="2"/>
    <x v="11"/>
    <x v="2"/>
    <x v="0"/>
    <m/>
    <s v="APAC"/>
    <s v="Southeast Asia"/>
    <s v="OFF-SU-10004177"/>
    <x v="0"/>
    <s v="Supplies"/>
    <s v="Fiskars Box Cutter, Easy Grip"/>
    <n v="20.427000000000003"/>
    <n v="1"/>
    <n v="0.45"/>
    <n v="-8.5530000000000008"/>
    <n v="1.34"/>
    <s v="Medium"/>
  </r>
  <r>
    <n v="27148"/>
    <s v="IN-2011-41394"/>
    <d v="2013-11-25T00:00:00"/>
    <d v="2013-11-30T00:00:00"/>
    <s v="Standard Class"/>
    <s v="AG-10675"/>
    <s v="Anna Gayman"/>
    <x v="2"/>
    <x v="9"/>
    <x v="2"/>
    <x v="0"/>
    <m/>
    <s v="APAC"/>
    <s v="Southeast Asia"/>
    <s v="OFF-BI-10002558"/>
    <x v="0"/>
    <s v="Binders"/>
    <s v="Cardinal Binder Covers, Economy"/>
    <n v="20.399999999999999"/>
    <n v="2"/>
    <n v="0.15000000000000002"/>
    <n v="-1.2000000000000002"/>
    <n v="0.44"/>
    <s v="Medium"/>
  </r>
  <r>
    <n v="21875"/>
    <s v="ID-2014-16474"/>
    <d v="2016-08-29T00:00:00"/>
    <d v="2016-09-03T00:00:00"/>
    <s v="Standard Class"/>
    <s v="FH-14365"/>
    <s v="Fred Hopkins"/>
    <x v="1"/>
    <x v="0"/>
    <x v="0"/>
    <x v="0"/>
    <m/>
    <s v="APAC"/>
    <s v="Southeast Asia"/>
    <s v="OFF-LA-10002139"/>
    <x v="0"/>
    <s v="Labels"/>
    <s v="Novimex Color Coded Labels, Alphabetical"/>
    <n v="20.196000000000005"/>
    <n v="3"/>
    <n v="0.45"/>
    <n v="-9.9540000000000006"/>
    <n v="1.23"/>
    <s v="Medium"/>
  </r>
  <r>
    <n v="26564"/>
    <s v="ID-2014-75183"/>
    <d v="2016-05-13T00:00:00"/>
    <d v="2016-05-16T00:00:00"/>
    <s v="Second Class"/>
    <s v="JB-16045"/>
    <s v="Julia Barnett"/>
    <x v="0"/>
    <x v="15"/>
    <x v="0"/>
    <x v="0"/>
    <m/>
    <s v="APAC"/>
    <s v="Southeast Asia"/>
    <s v="OFF-LA-10000095"/>
    <x v="0"/>
    <s v="Labels"/>
    <s v="Avery Round Labels, Laser Printer Compatible"/>
    <n v="19.635000000000002"/>
    <n v="5"/>
    <n v="0.45"/>
    <n v="-2.8650000000000002"/>
    <n v="2.33"/>
    <s v="Critical"/>
  </r>
  <r>
    <n v="25342"/>
    <s v="ID-2013-78298"/>
    <d v="2015-11-07T00:00:00"/>
    <d v="2015-11-11T00:00:00"/>
    <s v="Standard Class"/>
    <s v="CK-12205"/>
    <s v="Chloris Kastensmidt"/>
    <x v="2"/>
    <x v="0"/>
    <x v="0"/>
    <x v="0"/>
    <m/>
    <s v="APAC"/>
    <s v="Southeast Asia"/>
    <s v="OFF-FA-10004171"/>
    <x v="0"/>
    <s v="Fasteners"/>
    <s v="Accos Paper Clips, Assorted Sizes"/>
    <n v="18.958500000000001"/>
    <n v="3"/>
    <n v="0.45"/>
    <n v="-5.5215000000000014"/>
    <n v="2.85"/>
    <s v="High"/>
  </r>
  <r>
    <n v="22946"/>
    <s v="ID-2013-64739"/>
    <d v="2015-11-19T00:00:00"/>
    <d v="2015-11-26T00:00:00"/>
    <s v="Standard Class"/>
    <s v="JS-15595"/>
    <s v="Jill Stevenson"/>
    <x v="1"/>
    <x v="0"/>
    <x v="0"/>
    <x v="0"/>
    <m/>
    <s v="APAC"/>
    <s v="Southeast Asia"/>
    <s v="OFF-PA-10003418"/>
    <x v="0"/>
    <s v="Paper"/>
    <s v="Enermax Memo Slips, Multicolor"/>
    <n v="18.777000000000001"/>
    <n v="2"/>
    <n v="0.45"/>
    <n v="-3.7830000000000013"/>
    <n v="1.45"/>
    <s v="Medium"/>
  </r>
  <r>
    <n v="23828"/>
    <s v="ID-2012-28689"/>
    <d v="2014-10-08T00:00:00"/>
    <d v="2014-10-13T00:00:00"/>
    <s v="Standard Class"/>
    <s v="AC-10420"/>
    <s v="Alyssa Crouse"/>
    <x v="1"/>
    <x v="0"/>
    <x v="0"/>
    <x v="0"/>
    <m/>
    <s v="APAC"/>
    <s v="Southeast Asia"/>
    <s v="OFF-AR-10004148"/>
    <x v="0"/>
    <s v="Art"/>
    <s v="Sanford Pens, Easy-Erase"/>
    <n v="18.7605"/>
    <n v="3"/>
    <n v="0.45"/>
    <n v="-8.8695000000000004"/>
    <n v="1.08"/>
    <s v="Medium"/>
  </r>
  <r>
    <n v="26409"/>
    <s v="ID-2013-71522"/>
    <d v="2015-01-15T00:00:00"/>
    <d v="2015-01-21T00:00:00"/>
    <s v="Standard Class"/>
    <s v="TA-21385"/>
    <s v="Tom Ashbrook"/>
    <x v="0"/>
    <x v="0"/>
    <x v="0"/>
    <x v="0"/>
    <m/>
    <s v="APAC"/>
    <s v="Southeast Asia"/>
    <s v="OFF-FA-10003604"/>
    <x v="0"/>
    <s v="Fasteners"/>
    <s v="Stockwell Paper Clips, Assorted Sizes"/>
    <n v="18.710999999999999"/>
    <n v="3"/>
    <n v="0.45"/>
    <n v="-10.629"/>
    <n v="1.95"/>
    <s v="Low"/>
  </r>
  <r>
    <n v="23464"/>
    <s v="ID-2014-77927"/>
    <d v="2016-07-16T00:00:00"/>
    <d v="2016-07-18T00:00:00"/>
    <s v="Second Class"/>
    <s v="MN-17935"/>
    <s v="Michael Nguyen"/>
    <x v="2"/>
    <x v="16"/>
    <x v="0"/>
    <x v="0"/>
    <m/>
    <s v="APAC"/>
    <s v="Southeast Asia"/>
    <s v="OFF-PA-10003455"/>
    <x v="0"/>
    <s v="Paper"/>
    <s v="Green Bar Memo Slips, Recycled"/>
    <n v="18.545999999999999"/>
    <n v="2"/>
    <n v="0.45"/>
    <n v="-4.4339999999999993"/>
    <n v="3.25"/>
    <s v="High"/>
  </r>
  <r>
    <n v="27866"/>
    <s v="ID-2011-76884"/>
    <d v="2013-10-17T00:00:00"/>
    <d v="2013-10-23T00:00:00"/>
    <s v="Standard Class"/>
    <s v="HF-14995"/>
    <s v="Herbert Flentye"/>
    <x v="2"/>
    <x v="0"/>
    <x v="0"/>
    <x v="0"/>
    <m/>
    <s v="APAC"/>
    <s v="Southeast Asia"/>
    <s v="OFF-BI-10001659"/>
    <x v="0"/>
    <s v="Binders"/>
    <s v="Cardinal Index Tab, Clear"/>
    <n v="18.512999999999998"/>
    <n v="3"/>
    <n v="0.15000000000000002"/>
    <n v="0.60299999999999976"/>
    <n v="1.21"/>
    <s v="Medium"/>
  </r>
  <r>
    <n v="22512"/>
    <s v="ID-2014-42717"/>
    <d v="2016-12-23T00:00:00"/>
    <d v="2016-12-27T00:00:00"/>
    <s v="Standard Class"/>
    <s v="CL-12700"/>
    <s v="Craig Leslie"/>
    <x v="0"/>
    <x v="0"/>
    <x v="0"/>
    <x v="0"/>
    <m/>
    <s v="APAC"/>
    <s v="Southeast Asia"/>
    <s v="OFF-AR-10002392"/>
    <x v="0"/>
    <s v="Art"/>
    <s v="Binney &amp; Smith Highlighters, Blue"/>
    <n v="18.248999999999999"/>
    <n v="2"/>
    <n v="0.45"/>
    <n v="-12.950999999999997"/>
    <n v="0.87"/>
    <s v="Medium"/>
  </r>
  <r>
    <n v="25437"/>
    <s v="ID-2014-14892"/>
    <d v="2016-03-20T00:00:00"/>
    <d v="2016-03-23T00:00:00"/>
    <s v="Second Class"/>
    <s v="DW-13480"/>
    <s v="Dianna Wilson"/>
    <x v="0"/>
    <x v="0"/>
    <x v="0"/>
    <x v="0"/>
    <m/>
    <s v="APAC"/>
    <s v="Southeast Asia"/>
    <s v="OFF-EN-10000539"/>
    <x v="0"/>
    <s v="Envelopes"/>
    <s v="Ames Clasp Envelope, with clear poly window"/>
    <n v="17.721000000000004"/>
    <n v="3"/>
    <n v="0.45"/>
    <n v="-13.869"/>
    <n v="1.99"/>
    <s v="High"/>
  </r>
  <r>
    <n v="24231"/>
    <s v="IN-2013-11973"/>
    <d v="2015-06-10T00:00:00"/>
    <d v="2015-06-14T00:00:00"/>
    <s v="Standard Class"/>
    <s v="PF-19225"/>
    <s v="Phillip Flathmann"/>
    <x v="2"/>
    <x v="0"/>
    <x v="0"/>
    <x v="0"/>
    <m/>
    <s v="APAC"/>
    <s v="Southeast Asia"/>
    <s v="OFF-LA-10000615"/>
    <x v="0"/>
    <s v="Labels"/>
    <s v="Hon Removable Labels, Adjustable"/>
    <n v="17.572499999999998"/>
    <n v="3"/>
    <n v="0.45"/>
    <n v="-6.7274999999999983"/>
    <n v="0.83"/>
    <s v="High"/>
  </r>
  <r>
    <n v="21235"/>
    <s v="ID-2011-58250"/>
    <d v="2013-10-26T00:00:00"/>
    <d v="2013-11-01T00:00:00"/>
    <s v="Standard Class"/>
    <s v="TS-21160"/>
    <s v="Theresa Swint"/>
    <x v="1"/>
    <x v="0"/>
    <x v="0"/>
    <x v="0"/>
    <m/>
    <s v="APAC"/>
    <s v="Southeast Asia"/>
    <s v="OFF-LA-10002630"/>
    <x v="0"/>
    <s v="Labels"/>
    <s v="Novimex Legal Exhibit Labels, Laser Printer Compatible"/>
    <n v="17.275500000000001"/>
    <n v="3"/>
    <n v="0.45"/>
    <n v="-9.4544999999999995"/>
    <n v="0.97"/>
    <s v="Medium"/>
  </r>
  <r>
    <n v="29533"/>
    <s v="ID-2014-74973"/>
    <d v="2016-10-29T00:00:00"/>
    <d v="2016-10-29T00:00:00"/>
    <s v="Same Day"/>
    <s v="MK-17905"/>
    <s v="Michael Kennedy"/>
    <x v="1"/>
    <x v="0"/>
    <x v="0"/>
    <x v="0"/>
    <m/>
    <s v="APAC"/>
    <s v="Southeast Asia"/>
    <s v="OFF-PA-10004573"/>
    <x v="0"/>
    <s v="Paper"/>
    <s v="Enermax Memo Slips, Premium"/>
    <n v="17.226000000000003"/>
    <n v="2"/>
    <n v="0.45"/>
    <n v="-3.7740000000000009"/>
    <n v="7.16"/>
    <s v="Critical"/>
  </r>
  <r>
    <n v="24833"/>
    <s v="ID-2014-51467"/>
    <d v="2016-03-24T00:00:00"/>
    <d v="2016-03-30T00:00:00"/>
    <s v="Standard Class"/>
    <s v="LR-17035"/>
    <s v="Lisa Ryan"/>
    <x v="1"/>
    <x v="9"/>
    <x v="2"/>
    <x v="0"/>
    <m/>
    <s v="APAC"/>
    <s v="Southeast Asia"/>
    <s v="OFF-PA-10003943"/>
    <x v="0"/>
    <s v="Paper"/>
    <s v="Green Bar Computer Printout Paper, Multicolor"/>
    <n v="17.143500000000003"/>
    <n v="1"/>
    <n v="0.45"/>
    <n v="-7.1865000000000006"/>
    <n v="1.36"/>
    <s v="Medium"/>
  </r>
  <r>
    <n v="29832"/>
    <s v="ID-2014-52797"/>
    <d v="2016-03-04T00:00:00"/>
    <d v="2016-03-10T00:00:00"/>
    <s v="Standard Class"/>
    <s v="JF-15415"/>
    <s v="Jennifer Ferguson"/>
    <x v="2"/>
    <x v="0"/>
    <x v="0"/>
    <x v="0"/>
    <m/>
    <s v="APAC"/>
    <s v="Southeast Asia"/>
    <s v="OFF-BI-10004224"/>
    <x v="0"/>
    <s v="Binders"/>
    <s v="Avery Index Tab, Durable"/>
    <n v="17.0595"/>
    <n v="3"/>
    <n v="0.15000000000000002"/>
    <n v="0.76949999999999985"/>
    <n v="2.04"/>
    <s v="Low"/>
  </r>
  <r>
    <n v="21064"/>
    <s v="ID-2013-48555"/>
    <d v="2015-06-20T00:00:00"/>
    <d v="2015-06-25T00:00:00"/>
    <s v="Second Class"/>
    <s v="DL-12865"/>
    <s v="Dan Lawera"/>
    <x v="2"/>
    <x v="8"/>
    <x v="4"/>
    <x v="0"/>
    <m/>
    <s v="APAC"/>
    <s v="Southeast Asia"/>
    <s v="OFF-LA-10002107"/>
    <x v="0"/>
    <s v="Labels"/>
    <s v="Harbour Creations Removable Labels, Laser Printer Compatible"/>
    <n v="16.780500000000004"/>
    <n v="3"/>
    <n v="0.45"/>
    <n v="-4.009500000000001"/>
    <n v="0.51"/>
    <s v="Medium"/>
  </r>
  <r>
    <n v="30258"/>
    <s v="ID-2012-64844"/>
    <d v="2014-05-16T00:00:00"/>
    <d v="2014-05-21T00:00:00"/>
    <s v="Standard Class"/>
    <s v="SZ-20035"/>
    <s v="Sam Zeldin"/>
    <x v="0"/>
    <x v="0"/>
    <x v="0"/>
    <x v="0"/>
    <m/>
    <s v="APAC"/>
    <s v="Southeast Asia"/>
    <s v="OFF-PA-10004990"/>
    <x v="0"/>
    <s v="Paper"/>
    <s v="SanDisk Computer Printout Paper, Recycled"/>
    <n v="16.335000000000004"/>
    <n v="1"/>
    <n v="0.45"/>
    <n v="-6.5550000000000015"/>
    <n v="1.38"/>
    <s v="Medium"/>
  </r>
  <r>
    <n v="28861"/>
    <s v="ID-2014-70640"/>
    <d v="2016-08-12T00:00:00"/>
    <d v="2016-08-16T00:00:00"/>
    <s v="Standard Class"/>
    <s v="HL-15040"/>
    <s v="Hunter Lopez"/>
    <x v="2"/>
    <x v="13"/>
    <x v="0"/>
    <x v="0"/>
    <m/>
    <s v="APAC"/>
    <s v="Southeast Asia"/>
    <s v="OFF-BI-10003806"/>
    <x v="0"/>
    <s v="Binders"/>
    <s v="Avery Index Tab, Clear"/>
    <n v="16.141500000000001"/>
    <n v="3"/>
    <n v="0.15000000000000002"/>
    <n v="6.2414999999999994"/>
    <n v="1.22"/>
    <s v="Medium"/>
  </r>
  <r>
    <n v="25285"/>
    <s v="ID-2011-50655"/>
    <d v="2013-12-09T00:00:00"/>
    <d v="2013-12-13T00:00:00"/>
    <s v="Standard Class"/>
    <s v="JP-15520"/>
    <s v="Jeremy Pistek"/>
    <x v="2"/>
    <x v="0"/>
    <x v="0"/>
    <x v="0"/>
    <m/>
    <s v="APAC"/>
    <s v="Southeast Asia"/>
    <s v="OFF-SU-10000932"/>
    <x v="0"/>
    <s v="Supplies"/>
    <s v="Fiskars Ruler, High Speed"/>
    <n v="15.873000000000001"/>
    <n v="2"/>
    <n v="0.45"/>
    <n v="-8.6669999999999998"/>
    <n v="0.86"/>
    <s v="Medium"/>
  </r>
  <r>
    <n v="20658"/>
    <s v="ID-2013-17097"/>
    <d v="2015-12-17T00:00:00"/>
    <d v="2015-12-22T00:00:00"/>
    <s v="Second Class"/>
    <s v="EP-13915"/>
    <s v="Emily Phan"/>
    <x v="2"/>
    <x v="0"/>
    <x v="0"/>
    <x v="0"/>
    <m/>
    <s v="APAC"/>
    <s v="Southeast Asia"/>
    <s v="OFF-FA-10000248"/>
    <x v="0"/>
    <s v="Fasteners"/>
    <s v="Stockwell Rubber Bands, Assorted Sizes"/>
    <n v="15.378000000000002"/>
    <n v="2"/>
    <n v="0.45"/>
    <n v="1.3979999999999997"/>
    <n v="1.1499999999999999"/>
    <s v="Medium"/>
  </r>
  <r>
    <n v="29010"/>
    <s v="ID-2014-60112"/>
    <d v="2016-12-10T00:00:00"/>
    <d v="2016-12-14T00:00:00"/>
    <s v="Standard Class"/>
    <s v="PC-19000"/>
    <s v="Pauline Chand"/>
    <x v="0"/>
    <x v="0"/>
    <x v="0"/>
    <x v="0"/>
    <m/>
    <s v="APAC"/>
    <s v="Southeast Asia"/>
    <s v="OFF-PA-10003906"/>
    <x v="0"/>
    <s v="Paper"/>
    <s v="Eaton Memo Slips, Premium"/>
    <n v="15.114000000000001"/>
    <n v="2"/>
    <n v="0.45"/>
    <n v="-6.0000000000002274E-3"/>
    <n v="1.06"/>
    <s v="Medium"/>
  </r>
  <r>
    <n v="21063"/>
    <s v="ID-2013-48555"/>
    <d v="2015-06-20T00:00:00"/>
    <d v="2015-06-25T00:00:00"/>
    <s v="Second Class"/>
    <s v="DL-12865"/>
    <s v="Dan Lawera"/>
    <x v="2"/>
    <x v="8"/>
    <x v="4"/>
    <x v="0"/>
    <m/>
    <s v="APAC"/>
    <s v="Southeast Asia"/>
    <s v="OFF-LA-10004877"/>
    <x v="0"/>
    <s v="Labels"/>
    <s v="Avery File Folder Labels, Laser Printer Compatible"/>
    <n v="15.048000000000002"/>
    <n v="3"/>
    <n v="0.45"/>
    <n v="-1.1520000000000028"/>
    <n v="1.62"/>
    <s v="Medium"/>
  </r>
  <r>
    <n v="21679"/>
    <s v="ID-2013-13625"/>
    <d v="2015-10-22T00:00:00"/>
    <d v="2015-10-28T00:00:00"/>
    <s v="Standard Class"/>
    <s v="MG-17680"/>
    <s v="Maureen Gastineau"/>
    <x v="0"/>
    <x v="0"/>
    <x v="0"/>
    <x v="0"/>
    <m/>
    <s v="APAC"/>
    <s v="Southeast Asia"/>
    <s v="OFF-LA-10000477"/>
    <x v="0"/>
    <s v="Labels"/>
    <s v="Smead Round Labels, Alphabetical"/>
    <n v="14.784000000000002"/>
    <n v="4"/>
    <n v="0.45"/>
    <n v="-10.536000000000001"/>
    <n v="0.9"/>
    <s v="Medium"/>
  </r>
  <r>
    <n v="21234"/>
    <s v="ID-2011-58250"/>
    <d v="2013-10-26T00:00:00"/>
    <d v="2013-11-01T00:00:00"/>
    <s v="Standard Class"/>
    <s v="TS-21160"/>
    <s v="Theresa Swint"/>
    <x v="1"/>
    <x v="0"/>
    <x v="0"/>
    <x v="0"/>
    <m/>
    <s v="APAC"/>
    <s v="Southeast Asia"/>
    <s v="OFF-PA-10004260"/>
    <x v="0"/>
    <s v="Paper"/>
    <s v="Xerox Memo Slips, Recycled"/>
    <n v="14.784000000000002"/>
    <n v="2"/>
    <n v="0.45"/>
    <n v="-2.1960000000000033"/>
    <n v="0.25"/>
    <s v="Medium"/>
  </r>
  <r>
    <n v="25842"/>
    <s v="ID-2013-50347"/>
    <d v="2015-08-28T00:00:00"/>
    <d v="2015-09-04T00:00:00"/>
    <s v="Standard Class"/>
    <s v="SP-20620"/>
    <s v="Stefania Perrino"/>
    <x v="1"/>
    <x v="15"/>
    <x v="0"/>
    <x v="0"/>
    <m/>
    <s v="APAC"/>
    <s v="Southeast Asia"/>
    <s v="OFF-BI-10001286"/>
    <x v="0"/>
    <s v="Binders"/>
    <s v="Ibico Hole Reinforcements, Durable"/>
    <n v="14.433"/>
    <n v="2"/>
    <n v="0.15000000000000002"/>
    <n v="0.81299999999999972"/>
    <n v="1.86"/>
    <s v="Low"/>
  </r>
  <r>
    <n v="27475"/>
    <s v="ID-2014-39525"/>
    <d v="2016-06-14T00:00:00"/>
    <d v="2016-06-19T00:00:00"/>
    <s v="Standard Class"/>
    <s v="RE-19405"/>
    <s v="Ricardo Emerson"/>
    <x v="2"/>
    <x v="13"/>
    <x v="0"/>
    <x v="0"/>
    <m/>
    <s v="APAC"/>
    <s v="Southeast Asia"/>
    <s v="OFF-LA-10003132"/>
    <x v="0"/>
    <s v="Labels"/>
    <s v="Hon File Folder Labels, Adjustable"/>
    <n v="14.388"/>
    <n v="4"/>
    <n v="0.45"/>
    <n v="-4.4519999999999982"/>
    <n v="0.53"/>
    <s v="High"/>
  </r>
  <r>
    <n v="29948"/>
    <s v="ID-2014-52475"/>
    <d v="2016-01-11T00:00:00"/>
    <d v="2016-01-16T00:00:00"/>
    <s v="Standard Class"/>
    <s v="JE-15745"/>
    <s v="Joel Eaton"/>
    <x v="2"/>
    <x v="0"/>
    <x v="0"/>
    <x v="0"/>
    <m/>
    <s v="APAC"/>
    <s v="Southeast Asia"/>
    <s v="OFF-LA-10003379"/>
    <x v="0"/>
    <s v="Labels"/>
    <s v="Smead Color Coded Labels, Laser Printer Compatible"/>
    <n v="14.355"/>
    <n v="2"/>
    <n v="0.45"/>
    <n v="-10.484999999999999"/>
    <n v="2.38"/>
    <s v="High"/>
  </r>
  <r>
    <n v="23886"/>
    <s v="ID-2014-37131"/>
    <d v="2016-02-24T00:00:00"/>
    <d v="2016-02-28T00:00:00"/>
    <s v="Standard Class"/>
    <s v="RB-19705"/>
    <s v="Roger Barcio"/>
    <x v="0"/>
    <x v="4"/>
    <x v="2"/>
    <x v="0"/>
    <m/>
    <s v="APAC"/>
    <s v="Southeast Asia"/>
    <s v="OFF-LA-10003379"/>
    <x v="0"/>
    <s v="Labels"/>
    <s v="Smead Color Coded Labels, Laser Printer Compatible"/>
    <n v="14.355"/>
    <n v="2"/>
    <n v="0.45"/>
    <n v="-10.484999999999999"/>
    <n v="1"/>
    <s v="High"/>
  </r>
  <r>
    <n v="23167"/>
    <s v="IN-2013-31167"/>
    <d v="2015-11-12T00:00:00"/>
    <d v="2015-11-16T00:00:00"/>
    <s v="Standard Class"/>
    <s v="DB-13210"/>
    <s v="Dean Braden"/>
    <x v="2"/>
    <x v="0"/>
    <x v="0"/>
    <x v="0"/>
    <m/>
    <s v="APAC"/>
    <s v="Southeast Asia"/>
    <s v="OFF-BI-10002712"/>
    <x v="0"/>
    <s v="Binders"/>
    <s v="Acco Hole Reinforcements, Durable"/>
    <n v="13.872"/>
    <n v="2"/>
    <n v="0.15000000000000002"/>
    <n v="1.452"/>
    <n v="1.95"/>
    <s v="High"/>
  </r>
  <r>
    <n v="24974"/>
    <s v="IN-2011-61778"/>
    <d v="2013-10-14T00:00:00"/>
    <d v="2013-10-19T00:00:00"/>
    <s v="Standard Class"/>
    <s v="DB-13555"/>
    <s v="Dorothy Badders"/>
    <x v="1"/>
    <x v="0"/>
    <x v="0"/>
    <x v="0"/>
    <m/>
    <s v="APAC"/>
    <s v="Southeast Asia"/>
    <s v="OFF-SU-10004236"/>
    <x v="0"/>
    <s v="Supplies"/>
    <s v="Stiletto Letter Opener, Steel"/>
    <n v="13.794000000000004"/>
    <n v="1"/>
    <n v="0.45"/>
    <n v="-3.0360000000000031"/>
    <n v="1.21"/>
    <s v="Medium"/>
  </r>
  <r>
    <n v="28595"/>
    <s v="ID-2014-73678"/>
    <d v="2016-10-23T00:00:00"/>
    <d v="2016-10-28T00:00:00"/>
    <s v="Standard Class"/>
    <s v="AO-10810"/>
    <s v="Anthony O'Donnell"/>
    <x v="1"/>
    <x v="3"/>
    <x v="0"/>
    <x v="0"/>
    <m/>
    <s v="APAC"/>
    <s v="Southeast Asia"/>
    <s v="OFF-LA-10002465"/>
    <x v="0"/>
    <s v="Labels"/>
    <s v="Hon Shipping Labels, 5000 Label Set"/>
    <n v="12.936"/>
    <n v="2"/>
    <n v="0.45"/>
    <n v="-5.9039999999999999"/>
    <n v="1.05"/>
    <s v="Medium"/>
  </r>
  <r>
    <n v="20657"/>
    <s v="ID-2013-17097"/>
    <d v="2015-12-17T00:00:00"/>
    <d v="2015-12-22T00:00:00"/>
    <s v="Second Class"/>
    <s v="EP-13915"/>
    <s v="Emily Phan"/>
    <x v="2"/>
    <x v="0"/>
    <x v="0"/>
    <x v="0"/>
    <m/>
    <s v="APAC"/>
    <s v="Southeast Asia"/>
    <s v="OFF-LA-10002939"/>
    <x v="0"/>
    <s v="Labels"/>
    <s v="Harbour Creations Legal Exhibit Labels, 5000 Label Set"/>
    <n v="12.474"/>
    <n v="2"/>
    <n v="0.45"/>
    <n v="-5.226"/>
    <n v="0.84"/>
    <s v="Medium"/>
  </r>
  <r>
    <n v="24328"/>
    <s v="ID-2011-48401"/>
    <d v="2013-08-06T00:00:00"/>
    <d v="2013-08-10T00:00:00"/>
    <s v="Standard Class"/>
    <s v="JG-15160"/>
    <s v="James Galang"/>
    <x v="2"/>
    <x v="0"/>
    <x v="0"/>
    <x v="0"/>
    <m/>
    <s v="APAC"/>
    <s v="Southeast Asia"/>
    <s v="OFF-BI-10001200"/>
    <x v="0"/>
    <s v="Binders"/>
    <s v="Avery Binder, Durable"/>
    <n v="12.239999999999998"/>
    <n v="1"/>
    <n v="0.15000000000000002"/>
    <n v="-1.1700000000000002"/>
    <n v="0.74"/>
    <s v="Medium"/>
  </r>
  <r>
    <n v="29398"/>
    <s v="ID-2011-17720"/>
    <d v="2013-03-11T00:00:00"/>
    <d v="2013-03-13T00:00:00"/>
    <s v="Second Class"/>
    <s v="NM-18520"/>
    <s v="Neoma Murray"/>
    <x v="2"/>
    <x v="0"/>
    <x v="0"/>
    <x v="0"/>
    <m/>
    <s v="APAC"/>
    <s v="Southeast Asia"/>
    <s v="OFF-LA-10002319"/>
    <x v="0"/>
    <s v="Labels"/>
    <s v="Smead Legal Exhibit Labels, Laser Printer Compatible"/>
    <n v="12.21"/>
    <n v="2"/>
    <n v="0.45"/>
    <n v="-0.44999999999999929"/>
    <n v="1.93"/>
    <s v="Critical"/>
  </r>
  <r>
    <n v="27223"/>
    <s v="IN-2014-13478"/>
    <d v="2016-07-26T00:00:00"/>
    <d v="2016-07-30T00:00:00"/>
    <s v="Second Class"/>
    <s v="BM-11575"/>
    <s v="Brendan Murry"/>
    <x v="1"/>
    <x v="8"/>
    <x v="4"/>
    <x v="0"/>
    <m/>
    <s v="APAC"/>
    <s v="Southeast Asia"/>
    <s v="OFF-LA-10000506"/>
    <x v="0"/>
    <s v="Labels"/>
    <s v="Harbour Creations Legal Exhibit Labels, Laser Printer Compatible"/>
    <n v="12.045"/>
    <n v="2"/>
    <n v="0.45"/>
    <n v="-3.5549999999999997"/>
    <n v="0.18"/>
    <s v="Medium"/>
  </r>
  <r>
    <n v="27032"/>
    <s v="IN-2012-30145"/>
    <d v="2014-05-21T00:00:00"/>
    <d v="2014-05-25T00:00:00"/>
    <s v="Second Class"/>
    <s v="NS-18640"/>
    <s v="Noel Staavos"/>
    <x v="1"/>
    <x v="0"/>
    <x v="0"/>
    <x v="0"/>
    <m/>
    <s v="APAC"/>
    <s v="Southeast Asia"/>
    <s v="OFF-LA-10000668"/>
    <x v="0"/>
    <s v="Labels"/>
    <s v="Smead Removable Labels, Adjustable"/>
    <n v="11.979000000000001"/>
    <n v="2"/>
    <n v="0.45"/>
    <n v="1.0589999999999993"/>
    <n v="0.75"/>
    <s v="Medium"/>
  </r>
  <r>
    <n v="24671"/>
    <s v="ID-2014-69233"/>
    <d v="2016-03-04T00:00:00"/>
    <d v="2016-03-09T00:00:00"/>
    <s v="Second Class"/>
    <s v="PO-19180"/>
    <s v="Philisse Overcash"/>
    <x v="0"/>
    <x v="1"/>
    <x v="1"/>
    <x v="0"/>
    <m/>
    <s v="APAC"/>
    <s v="Southeast Asia"/>
    <s v="OFF-BI-10004436"/>
    <x v="0"/>
    <s v="Binders"/>
    <s v="Acco Hole Reinforcements, Recycled"/>
    <n v="11.933999999999999"/>
    <n v="2"/>
    <n v="0.15000000000000002"/>
    <n v="-1.8660000000000003"/>
    <n v="0.89"/>
    <s v="Medium"/>
  </r>
  <r>
    <n v="27854"/>
    <s v="ID-2013-20471"/>
    <d v="2015-01-09T00:00:00"/>
    <d v="2015-01-12T00:00:00"/>
    <s v="First Class"/>
    <s v="LF-17185"/>
    <s v="Luke Foster"/>
    <x v="2"/>
    <x v="7"/>
    <x v="3"/>
    <x v="0"/>
    <m/>
    <s v="APAC"/>
    <s v="Southeast Asia"/>
    <s v="OFF-LA-10003678"/>
    <x v="0"/>
    <s v="Labels"/>
    <s v="Hon Round Labels, 5000 Label Set"/>
    <n v="11.632500000000002"/>
    <n v="3"/>
    <n v="0.45"/>
    <n v="-9.5175000000000018"/>
    <n v="1.34"/>
    <s v="Medium"/>
  </r>
  <r>
    <n v="26606"/>
    <s v="ID-2014-35836"/>
    <d v="2016-05-30T00:00:00"/>
    <d v="2016-06-04T00:00:00"/>
    <s v="Standard Class"/>
    <s v="MH-17620"/>
    <s v="Matt Hagelstein"/>
    <x v="1"/>
    <x v="0"/>
    <x v="0"/>
    <x v="0"/>
    <m/>
    <s v="APAC"/>
    <s v="Southeast Asia"/>
    <s v="OFF-BI-10001867"/>
    <x v="0"/>
    <s v="Binders"/>
    <s v="Acco Binder Covers, Recycled"/>
    <n v="11.628"/>
    <n v="1"/>
    <n v="0.15000000000000002"/>
    <n v="2.2979999999999996"/>
    <n v="1.38"/>
    <s v="Medium"/>
  </r>
  <r>
    <n v="30216"/>
    <s v="ID-2013-26092"/>
    <d v="2015-03-27T00:00:00"/>
    <d v="2015-04-03T00:00:00"/>
    <s v="Standard Class"/>
    <s v="KN-16390"/>
    <s v="Katherine Nockton"/>
    <x v="1"/>
    <x v="0"/>
    <x v="0"/>
    <x v="0"/>
    <m/>
    <s v="APAC"/>
    <s v="Southeast Asia"/>
    <s v="OFF-LA-10001731"/>
    <x v="0"/>
    <s v="Labels"/>
    <s v="Avery Removable Labels, Alphabetical"/>
    <n v="11.616000000000001"/>
    <n v="2"/>
    <n v="0.45"/>
    <n v="-5.304000000000002"/>
    <n v="0.62"/>
    <s v="Medium"/>
  </r>
  <r>
    <n v="25193"/>
    <s v="IN-2014-48121"/>
    <d v="2016-02-18T00:00:00"/>
    <d v="2016-02-20T00:00:00"/>
    <s v="First Class"/>
    <s v="CM-12160"/>
    <s v="Charles McCrossin"/>
    <x v="2"/>
    <x v="8"/>
    <x v="4"/>
    <x v="0"/>
    <m/>
    <s v="APAC"/>
    <s v="Southeast Asia"/>
    <s v="OFF-LA-10002630"/>
    <x v="0"/>
    <s v="Labels"/>
    <s v="Novimex Legal Exhibit Labels, Laser Printer Compatible"/>
    <n v="11.516999999999999"/>
    <n v="2"/>
    <n v="0.45"/>
    <n v="-6.3029999999999999"/>
    <n v="2.79"/>
    <s v="High"/>
  </r>
  <r>
    <n v="29133"/>
    <s v="ID-2013-66258"/>
    <d v="2015-04-26T00:00:00"/>
    <d v="2015-05-03T00:00:00"/>
    <s v="Standard Class"/>
    <s v="BE-11410"/>
    <s v="Bobby Elias"/>
    <x v="2"/>
    <x v="7"/>
    <x v="3"/>
    <x v="0"/>
    <m/>
    <s v="APAC"/>
    <s v="Southeast Asia"/>
    <s v="OFF-LA-10001444"/>
    <x v="0"/>
    <s v="Labels"/>
    <s v="Avery Round Labels, Alphabetical"/>
    <n v="11.484"/>
    <n v="3"/>
    <n v="0.45"/>
    <n v="-0.48599999999999888"/>
    <n v="1.19"/>
    <s v="Low"/>
  </r>
  <r>
    <n v="20652"/>
    <s v="ID-2014-29914"/>
    <d v="2016-01-13T00:00:00"/>
    <d v="2016-01-18T00:00:00"/>
    <s v="Standard Class"/>
    <s v="JS-16030"/>
    <s v="Joy Smith"/>
    <x v="2"/>
    <x v="0"/>
    <x v="0"/>
    <x v="0"/>
    <m/>
    <s v="APAC"/>
    <s v="Southeast Asia"/>
    <s v="OFF-FA-10001925"/>
    <x v="0"/>
    <s v="Fasteners"/>
    <s v="Advantus Staples, 12 Pack"/>
    <n v="11.319000000000001"/>
    <n v="2"/>
    <n v="0.45"/>
    <n v="-4.1609999999999996"/>
    <n v="0.5"/>
    <s v="Medium"/>
  </r>
  <r>
    <n v="23375"/>
    <s v="ID-2014-41156"/>
    <d v="2016-03-02T00:00:00"/>
    <d v="2016-03-06T00:00:00"/>
    <s v="Standard Class"/>
    <s v="NG-18355"/>
    <s v="Nat Gilpin"/>
    <x v="1"/>
    <x v="0"/>
    <x v="0"/>
    <x v="0"/>
    <m/>
    <s v="APAC"/>
    <s v="Southeast Asia"/>
    <s v="OFF-FA-10004606"/>
    <x v="0"/>
    <s v="Fasteners"/>
    <s v="Stockwell Staples, 12 Pack"/>
    <n v="11.253000000000002"/>
    <n v="2"/>
    <n v="0.45"/>
    <n v="-8.1870000000000012"/>
    <n v="1.83"/>
    <s v="High"/>
  </r>
  <r>
    <n v="20544"/>
    <s v="ID-2012-21787"/>
    <d v="2014-06-19T00:00:00"/>
    <d v="2014-06-24T00:00:00"/>
    <s v="Standard Class"/>
    <s v="DR-12940"/>
    <s v="Daniel Raglin"/>
    <x v="0"/>
    <x v="0"/>
    <x v="0"/>
    <x v="0"/>
    <m/>
    <s v="APAC"/>
    <s v="Southeast Asia"/>
    <s v="OFF-AR-10001850"/>
    <x v="0"/>
    <s v="Art"/>
    <s v="BIC Highlighters, Fluorescent"/>
    <n v="11.1045"/>
    <n v="1"/>
    <n v="0.45"/>
    <n v="-6.4755000000000003"/>
    <n v="1.34"/>
    <s v="High"/>
  </r>
  <r>
    <n v="27474"/>
    <s v="ID-2014-39525"/>
    <d v="2016-06-14T00:00:00"/>
    <d v="2016-06-19T00:00:00"/>
    <s v="Standard Class"/>
    <s v="RE-19405"/>
    <s v="Ricardo Emerson"/>
    <x v="2"/>
    <x v="13"/>
    <x v="0"/>
    <x v="0"/>
    <m/>
    <s v="APAC"/>
    <s v="Southeast Asia"/>
    <s v="OFF-BI-10002424"/>
    <x v="0"/>
    <s v="Binders"/>
    <s v="Avery Binder, Economy"/>
    <n v="10.964999999999998"/>
    <n v="1"/>
    <n v="0.15000000000000002"/>
    <n v="3.3450000000000002"/>
    <n v="1.79"/>
    <s v="High"/>
  </r>
  <r>
    <n v="26785"/>
    <s v="ID-2014-33134"/>
    <d v="2016-04-24T00:00:00"/>
    <d v="2016-04-29T00:00:00"/>
    <s v="Standard Class"/>
    <s v="SV-20935"/>
    <s v="Susan Vittorini"/>
    <x v="2"/>
    <x v="0"/>
    <x v="0"/>
    <x v="0"/>
    <m/>
    <s v="APAC"/>
    <s v="Southeast Asia"/>
    <s v="OFF-BI-10003806"/>
    <x v="0"/>
    <s v="Binders"/>
    <s v="Avery Index Tab, Clear"/>
    <n v="10.760999999999999"/>
    <n v="2"/>
    <n v="0.15000000000000002"/>
    <n v="4.1610000000000005"/>
    <n v="1.0900000000000001"/>
    <s v="Medium"/>
  </r>
  <r>
    <n v="24027"/>
    <s v="ID-2014-26701"/>
    <d v="2016-12-12T00:00:00"/>
    <d v="2016-12-14T00:00:00"/>
    <s v="First Class"/>
    <s v="KB-16405"/>
    <s v="Katrina Bavinger"/>
    <x v="0"/>
    <x v="0"/>
    <x v="0"/>
    <x v="0"/>
    <m/>
    <s v="APAC"/>
    <s v="Southeast Asia"/>
    <s v="OFF-FA-10001375"/>
    <x v="0"/>
    <s v="Fasteners"/>
    <s v="Accos Clamps, 12 Pack"/>
    <n v="10.345500000000001"/>
    <n v="1"/>
    <n v="0.45"/>
    <n v="-6.964500000000001"/>
    <n v="2.1800000000000002"/>
    <s v="Medium"/>
  </r>
  <r>
    <n v="23777"/>
    <s v="IN-2014-57564"/>
    <d v="2016-10-31T00:00:00"/>
    <d v="2016-11-03T00:00:00"/>
    <s v="Second Class"/>
    <s v="NR-18550"/>
    <s v="Nick Radford"/>
    <x v="2"/>
    <x v="13"/>
    <x v="0"/>
    <x v="0"/>
    <m/>
    <s v="APAC"/>
    <s v="Southeast Asia"/>
    <s v="OFF-LA-10002088"/>
    <x v="0"/>
    <s v="Labels"/>
    <s v="Novimex Round Labels, Laser Printer Compatible"/>
    <n v="10.345500000000001"/>
    <n v="3"/>
    <n v="0.45"/>
    <n v="0.35550000000000104"/>
    <n v="1.07"/>
    <s v="Medium"/>
  </r>
  <r>
    <n v="22064"/>
    <s v="IN-2013-13681"/>
    <d v="2015-11-15T00:00:00"/>
    <d v="2015-11-22T00:00:00"/>
    <s v="Standard Class"/>
    <s v="LT-17110"/>
    <s v="Liz Thompson"/>
    <x v="2"/>
    <x v="0"/>
    <x v="0"/>
    <x v="0"/>
    <m/>
    <s v="APAC"/>
    <s v="Southeast Asia"/>
    <s v="OFF-LA-10004745"/>
    <x v="0"/>
    <s v="Labels"/>
    <s v="Harbour Creations Shipping Labels, Adjustable"/>
    <n v="10.295999999999999"/>
    <n v="2"/>
    <n v="0.45"/>
    <n v="0.69600000000000151"/>
    <n v="0.67"/>
    <s v="Medium"/>
  </r>
  <r>
    <n v="27472"/>
    <s v="ID-2014-39525"/>
    <d v="2016-06-14T00:00:00"/>
    <d v="2016-06-19T00:00:00"/>
    <s v="Standard Class"/>
    <s v="RE-19405"/>
    <s v="Ricardo Emerson"/>
    <x v="2"/>
    <x v="13"/>
    <x v="0"/>
    <x v="0"/>
    <m/>
    <s v="APAC"/>
    <s v="Southeast Asia"/>
    <s v="OFF-EN-10002425"/>
    <x v="0"/>
    <s v="Envelopes"/>
    <s v="Ames Peel and Seal, Set of 50"/>
    <n v="10.279500000000002"/>
    <n v="1"/>
    <n v="0.45"/>
    <n v="-7.8705000000000007"/>
    <n v="1.29"/>
    <s v="High"/>
  </r>
  <r>
    <n v="23830"/>
    <s v="ID-2012-28689"/>
    <d v="2014-10-08T00:00:00"/>
    <d v="2014-10-13T00:00:00"/>
    <s v="Standard Class"/>
    <s v="AC-10420"/>
    <s v="Alyssa Crouse"/>
    <x v="1"/>
    <x v="0"/>
    <x v="0"/>
    <x v="0"/>
    <m/>
    <s v="APAC"/>
    <s v="Southeast Asia"/>
    <s v="OFF-BI-10004868"/>
    <x v="0"/>
    <s v="Binders"/>
    <s v="Wilson Jones Hole Reinforcements, Durable"/>
    <n v="10.251000000000001"/>
    <n v="2"/>
    <n v="0.15000000000000002"/>
    <n v="-1.4490000000000007"/>
    <n v="0.5"/>
    <s v="Medium"/>
  </r>
  <r>
    <n v="25005"/>
    <s v="ID-2012-45363"/>
    <d v="2014-06-29T00:00:00"/>
    <d v="2014-07-06T00:00:00"/>
    <s v="Standard Class"/>
    <s v="JG-15805"/>
    <s v="John Grady"/>
    <x v="1"/>
    <x v="13"/>
    <x v="0"/>
    <x v="0"/>
    <m/>
    <s v="APAC"/>
    <s v="Southeast Asia"/>
    <s v="OFF-EN-10001154"/>
    <x v="0"/>
    <s v="Envelopes"/>
    <s v="Kraft Clasp Envelope, Set of 50"/>
    <n v="9.9"/>
    <n v="2"/>
    <n v="0.45"/>
    <n v="-7.7399999999999993"/>
    <n v="0.56999999999999995"/>
    <s v="Medium"/>
  </r>
  <r>
    <n v="29102"/>
    <s v="IN-2014-23159"/>
    <d v="2016-06-24T00:00:00"/>
    <d v="2016-06-29T00:00:00"/>
    <s v="Standard Class"/>
    <s v="SS-20140"/>
    <s v="Saphhira Shifley"/>
    <x v="1"/>
    <x v="0"/>
    <x v="0"/>
    <x v="0"/>
    <m/>
    <s v="APAC"/>
    <s v="Southeast Asia"/>
    <s v="OFF-BI-10000168"/>
    <x v="0"/>
    <s v="Binders"/>
    <s v="Cardinal Hole Reinforcements, Recycled"/>
    <n v="9.69"/>
    <n v="2"/>
    <n v="0.15000000000000002"/>
    <n v="1.1099999999999994"/>
    <n v="0.56999999999999995"/>
    <s v="Medium"/>
  </r>
  <r>
    <n v="29582"/>
    <s v="ID-2011-46483"/>
    <d v="2013-01-09T00:00:00"/>
    <d v="2013-01-13T00:00:00"/>
    <s v="Standard Class"/>
    <s v="SC-20050"/>
    <s v="Sample Company A"/>
    <x v="0"/>
    <x v="17"/>
    <x v="2"/>
    <x v="0"/>
    <m/>
    <s v="APAC"/>
    <s v="Southeast Asia"/>
    <s v="OFF-PA-10003405"/>
    <x v="0"/>
    <s v="Paper"/>
    <s v="Green Bar Memo Slips, Premium"/>
    <n v="9.3225000000000016"/>
    <n v="1"/>
    <n v="0.45"/>
    <n v="-1.7175000000000011"/>
    <n v="0.69"/>
    <s v="High"/>
  </r>
  <r>
    <n v="25004"/>
    <s v="ID-2012-45363"/>
    <d v="2014-06-29T00:00:00"/>
    <d v="2014-07-06T00:00:00"/>
    <s v="Standard Class"/>
    <s v="JG-15805"/>
    <s v="John Grady"/>
    <x v="1"/>
    <x v="13"/>
    <x v="0"/>
    <x v="0"/>
    <m/>
    <s v="APAC"/>
    <s v="Southeast Asia"/>
    <s v="OFF-FA-10002481"/>
    <x v="0"/>
    <s v="Fasteners"/>
    <s v="OIC Rubber Bands, 12 Pack"/>
    <n v="9.0750000000000011"/>
    <n v="1"/>
    <n v="0.45"/>
    <n v="-6.9450000000000003"/>
    <n v="0.44"/>
    <s v="Medium"/>
  </r>
  <r>
    <n v="23024"/>
    <s v="ID-2011-75232"/>
    <d v="2013-06-14T00:00:00"/>
    <d v="2013-06-19T00:00:00"/>
    <s v="Standard Class"/>
    <s v="PF-19120"/>
    <s v="Peter Fuller"/>
    <x v="2"/>
    <x v="0"/>
    <x v="0"/>
    <x v="0"/>
    <m/>
    <s v="APAC"/>
    <s v="Southeast Asia"/>
    <s v="OFF-SU-10003527"/>
    <x v="0"/>
    <s v="Supplies"/>
    <s v="Elite Ruler, Easy Grip"/>
    <n v="8.4809999999999999"/>
    <n v="1"/>
    <n v="0.45"/>
    <n v="-3.2489999999999992"/>
    <n v="0.65"/>
    <s v="Medium"/>
  </r>
  <r>
    <n v="26975"/>
    <s v="ID-2012-44964"/>
    <d v="2014-07-13T00:00:00"/>
    <d v="2014-07-16T00:00:00"/>
    <s v="First Class"/>
    <s v="BF-11215"/>
    <s v="Benjamin Farhat"/>
    <x v="0"/>
    <x v="0"/>
    <x v="0"/>
    <x v="0"/>
    <m/>
    <s v="APAC"/>
    <s v="Southeast Asia"/>
    <s v="OFF-AR-10003875"/>
    <x v="0"/>
    <s v="Art"/>
    <s v="Stanley Highlighters, Easy-Erase"/>
    <n v="8.2335000000000012"/>
    <n v="1"/>
    <n v="0.45"/>
    <n v="-5.5665000000000004"/>
    <n v="0.38"/>
    <s v="High"/>
  </r>
  <r>
    <n v="25606"/>
    <s v="ID-2011-30922"/>
    <d v="2013-11-28T00:00:00"/>
    <d v="2013-12-03T00:00:00"/>
    <s v="Standard Class"/>
    <s v="AG-10330"/>
    <s v="Alex Grayson"/>
    <x v="2"/>
    <x v="11"/>
    <x v="2"/>
    <x v="0"/>
    <m/>
    <s v="APAC"/>
    <s v="Southeast Asia"/>
    <s v="OFF-AR-10003875"/>
    <x v="0"/>
    <s v="Art"/>
    <s v="Stanley Highlighters, Easy-Erase"/>
    <n v="8.2335000000000012"/>
    <n v="1"/>
    <n v="0.45"/>
    <n v="-5.5665000000000004"/>
    <n v="0.35"/>
    <s v="Medium"/>
  </r>
  <r>
    <n v="21068"/>
    <s v="ID-2013-24412"/>
    <d v="2015-11-16T00:00:00"/>
    <d v="2015-11-21T00:00:00"/>
    <s v="Standard Class"/>
    <s v="AH-10030"/>
    <s v="Aaron Hawkins"/>
    <x v="1"/>
    <x v="0"/>
    <x v="0"/>
    <x v="0"/>
    <m/>
    <s v="APAC"/>
    <s v="Southeast Asia"/>
    <s v="OFF-LA-10001185"/>
    <x v="0"/>
    <s v="Labels"/>
    <s v="Harbour Creations Round Labels, 5000 Label Set"/>
    <n v="7.8540000000000001"/>
    <n v="2"/>
    <n v="0.45"/>
    <n v="-0.60599999999999987"/>
    <n v="0.66"/>
    <s v="Medium"/>
  </r>
  <r>
    <n v="27095"/>
    <s v="ID-2012-73062"/>
    <d v="2014-08-13T00:00:00"/>
    <d v="2014-08-16T00:00:00"/>
    <s v="Second Class"/>
    <s v="SS-20590"/>
    <s v="Sonia Sunley"/>
    <x v="2"/>
    <x v="0"/>
    <x v="0"/>
    <x v="0"/>
    <m/>
    <s v="APAC"/>
    <s v="Southeast Asia"/>
    <s v="OFF-FA-10003782"/>
    <x v="0"/>
    <s v="Fasteners"/>
    <s v="Advantus Paper Clips, Bulk Pack"/>
    <n v="7.738500000000001"/>
    <n v="1"/>
    <n v="0.45"/>
    <n v="-3.8115000000000001"/>
    <n v="0.24"/>
    <s v="Critical"/>
  </r>
  <r>
    <n v="28234"/>
    <s v="ID-2014-74119"/>
    <d v="2016-09-30T00:00:00"/>
    <d v="2016-10-04T00:00:00"/>
    <s v="Second Class"/>
    <s v="DH-13675"/>
    <s v="Duane Huffman"/>
    <x v="0"/>
    <x v="0"/>
    <x v="0"/>
    <x v="0"/>
    <m/>
    <s v="APAC"/>
    <s v="Southeast Asia"/>
    <s v="OFF-FA-10003332"/>
    <x v="0"/>
    <s v="Fasteners"/>
    <s v="Accos Push Pins, 12 Pack"/>
    <n v="7.6725000000000012"/>
    <n v="1"/>
    <n v="0.45"/>
    <n v="0.11249999999999893"/>
    <n v="1.52"/>
    <s v="High"/>
  </r>
  <r>
    <n v="28141"/>
    <s v="IN-2014-44614"/>
    <d v="2016-12-04T00:00:00"/>
    <d v="2016-12-10T00:00:00"/>
    <s v="Standard Class"/>
    <s v="KT-16480"/>
    <s v="Kean Thornton"/>
    <x v="2"/>
    <x v="15"/>
    <x v="0"/>
    <x v="0"/>
    <m/>
    <s v="APAC"/>
    <s v="Southeast Asia"/>
    <s v="OFF-LA-10000950"/>
    <x v="0"/>
    <s v="Labels"/>
    <s v="Avery Color Coded Labels, 5000 Label Set"/>
    <n v="7.524"/>
    <n v="1"/>
    <n v="0.45"/>
    <n v="-4.1159999999999997"/>
    <n v="0.59"/>
    <s v="Medium"/>
  </r>
  <r>
    <n v="29950"/>
    <s v="ID-2014-52475"/>
    <d v="2016-01-11T00:00:00"/>
    <d v="2016-01-16T00:00:00"/>
    <s v="Standard Class"/>
    <s v="JE-15745"/>
    <s v="Joel Eaton"/>
    <x v="2"/>
    <x v="0"/>
    <x v="0"/>
    <x v="0"/>
    <m/>
    <s v="APAC"/>
    <s v="Southeast Asia"/>
    <s v="OFF-FA-10000577"/>
    <x v="0"/>
    <s v="Fasteners"/>
    <s v="Stockwell Push Pins, 12 Pack"/>
    <n v="7.3755000000000006"/>
    <n v="1"/>
    <n v="0.45"/>
    <n v="0.65549999999999908"/>
    <n v="0.7"/>
    <s v="High"/>
  </r>
  <r>
    <n v="23664"/>
    <s v="IN-2014-26498"/>
    <d v="2016-09-29T00:00:00"/>
    <d v="2016-10-03T00:00:00"/>
    <s v="Standard Class"/>
    <s v="MS-17710"/>
    <s v="Maurice Satty"/>
    <x v="2"/>
    <x v="0"/>
    <x v="0"/>
    <x v="0"/>
    <m/>
    <s v="APAC"/>
    <s v="Southeast Asia"/>
    <s v="OFF-BI-10003646"/>
    <x v="0"/>
    <s v="Binders"/>
    <s v="Avery Index Tab, Economy"/>
    <n v="6.6555"/>
    <n v="1"/>
    <n v="0.15000000000000002"/>
    <n v="0.53549999999999986"/>
    <n v="0.4"/>
    <s v="Medium"/>
  </r>
  <r>
    <n v="26215"/>
    <s v="IN-2012-37586"/>
    <d v="2014-06-11T00:00:00"/>
    <d v="2014-06-14T00:00:00"/>
    <s v="Second Class"/>
    <s v="LP-17095"/>
    <s v="Liz Preis"/>
    <x v="2"/>
    <x v="0"/>
    <x v="0"/>
    <x v="0"/>
    <m/>
    <s v="APAC"/>
    <s v="Southeast Asia"/>
    <s v="OFF-LA-10004430"/>
    <x v="0"/>
    <s v="Labels"/>
    <s v="Avery Shipping Labels, Laser Printer Compatible"/>
    <n v="6.5175000000000001"/>
    <n v="1"/>
    <n v="0.45"/>
    <n v="0.21750000000000114"/>
    <n v="0.42"/>
    <s v="Medium"/>
  </r>
  <r>
    <n v="26360"/>
    <s v="IN-2011-65159"/>
    <d v="2013-01-03T00:00:00"/>
    <d v="2013-01-07T00:00:00"/>
    <s v="Second Class"/>
    <s v="LB-16735"/>
    <s v="Larry Blacks"/>
    <x v="2"/>
    <x v="0"/>
    <x v="0"/>
    <x v="0"/>
    <m/>
    <s v="APAC"/>
    <s v="Southeast Asia"/>
    <s v="OFF-FA-10002569"/>
    <x v="0"/>
    <s v="Fasteners"/>
    <s v="Stockwell Staples, Metal"/>
    <n v="6.0059999999999993"/>
    <n v="1"/>
    <n v="0.45"/>
    <n v="0.54600000000000026"/>
    <n v="0.8"/>
    <s v="High"/>
  </r>
  <r>
    <n v="25007"/>
    <s v="ID-2012-45363"/>
    <d v="2014-06-29T00:00:00"/>
    <d v="2014-07-06T00:00:00"/>
    <s v="Standard Class"/>
    <s v="JG-15805"/>
    <s v="John Grady"/>
    <x v="1"/>
    <x v="13"/>
    <x v="0"/>
    <x v="0"/>
    <m/>
    <s v="APAC"/>
    <s v="Southeast Asia"/>
    <s v="OFF-LA-10003381"/>
    <x v="0"/>
    <s v="Labels"/>
    <s v="Novimex Removable Labels, Laser Printer Compatible"/>
    <n v="5.3295000000000003"/>
    <n v="1"/>
    <n v="0.45"/>
    <n v="0.46950000000000003"/>
    <n v="0.42"/>
    <s v="Medium"/>
  </r>
  <r>
    <n v="24283"/>
    <s v="ID-2012-24251"/>
    <d v="2014-06-06T00:00:00"/>
    <d v="2014-06-11T00:00:00"/>
    <s v="Standard Class"/>
    <s v="SC-20260"/>
    <s v="Scott Cohen"/>
    <x v="1"/>
    <x v="0"/>
    <x v="0"/>
    <x v="0"/>
    <m/>
    <s v="APAC"/>
    <s v="Southeast Asia"/>
    <s v="OFF-FA-10004910"/>
    <x v="0"/>
    <s v="Fasteners"/>
    <s v="Advantus Staples, Assorted Sizes"/>
    <n v="4.5705000000000009"/>
    <n v="1"/>
    <n v="0.45"/>
    <n v="-3.1695000000000002"/>
    <n v="0.2"/>
    <s v="Mediu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02A6D2-6835-45FC-AD0F-3257AE885E0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76" firstHeaderRow="0" firstDataRow="1" firstDataCol="1"/>
  <pivotFields count="26">
    <pivotField showAll="0"/>
    <pivotField showAll="0"/>
    <pivotField numFmtId="14" showAll="0"/>
    <pivotField numFmtId="14" showAll="0"/>
    <pivotField showAll="0"/>
    <pivotField showAll="0"/>
    <pivotField showAll="0"/>
    <pivotField showAll="0">
      <items count="4">
        <item x="2"/>
        <item x="1"/>
        <item x="0"/>
        <item t="default"/>
      </items>
    </pivotField>
    <pivotField axis="axisRow" showAll="0">
      <items count="19">
        <item x="14"/>
        <item x="4"/>
        <item x="8"/>
        <item x="9"/>
        <item x="7"/>
        <item x="11"/>
        <item x="12"/>
        <item x="13"/>
        <item x="3"/>
        <item x="16"/>
        <item x="0"/>
        <item x="2"/>
        <item x="15"/>
        <item x="1"/>
        <item x="17"/>
        <item x="6"/>
        <item x="10"/>
        <item x="5"/>
        <item t="default"/>
      </items>
    </pivotField>
    <pivotField axis="axisRow" showAll="0">
      <items count="7">
        <item x="2"/>
        <item x="1"/>
        <item x="3"/>
        <item x="0"/>
        <item x="5"/>
        <item x="4"/>
        <item t="default"/>
      </items>
    </pivotField>
    <pivotField axis="axisRow" showAll="0" sortType="descending">
      <items count="2">
        <item x="0"/>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axis="axisRow" showAll="0">
      <items count="4">
        <item x="2"/>
        <item x="0"/>
        <item x="1"/>
        <item t="default"/>
      </items>
    </pivotField>
    <pivotField showAll="0"/>
    <pivotField showAll="0"/>
    <pivotField dataField="1" showAll="0"/>
    <pivotField showAll="0"/>
    <pivotField showAll="0"/>
    <pivotField dataField="1" showAll="0"/>
    <pivotField numFmtId="164" showAll="0"/>
    <pivotField showAll="0"/>
    <pivotField dataField="1" dragToRow="0" dragToCol="0" dragToPage="0" showAll="0" defaultSubtotal="0"/>
    <pivotField dragToRow="0" dragToCol="0" dragToPage="0" showAll="0" defaultSubtotal="0"/>
  </pivotFields>
  <rowFields count="4">
    <field x="10"/>
    <field x="15"/>
    <field x="9"/>
    <field x="8"/>
  </rowFields>
  <rowItems count="73">
    <i>
      <x/>
    </i>
    <i r="1">
      <x/>
    </i>
    <i r="2">
      <x/>
    </i>
    <i r="3">
      <x v="1"/>
    </i>
    <i r="3">
      <x v="3"/>
    </i>
    <i r="3">
      <x v="5"/>
    </i>
    <i r="3">
      <x v="6"/>
    </i>
    <i r="3">
      <x v="14"/>
    </i>
    <i r="3">
      <x v="15"/>
    </i>
    <i r="2">
      <x v="1"/>
    </i>
    <i r="3">
      <x/>
    </i>
    <i r="3">
      <x v="13"/>
    </i>
    <i r="2">
      <x v="2"/>
    </i>
    <i r="3">
      <x v="4"/>
    </i>
    <i r="2">
      <x v="3"/>
    </i>
    <i r="3">
      <x v="7"/>
    </i>
    <i r="3">
      <x v="8"/>
    </i>
    <i r="3">
      <x v="9"/>
    </i>
    <i r="3">
      <x v="10"/>
    </i>
    <i r="3">
      <x v="11"/>
    </i>
    <i r="3">
      <x v="12"/>
    </i>
    <i r="3">
      <x v="17"/>
    </i>
    <i r="2">
      <x v="4"/>
    </i>
    <i r="3">
      <x v="16"/>
    </i>
    <i r="2">
      <x v="5"/>
    </i>
    <i r="3">
      <x v="2"/>
    </i>
    <i r="1">
      <x v="1"/>
    </i>
    <i r="2">
      <x/>
    </i>
    <i r="3">
      <x v="1"/>
    </i>
    <i r="3">
      <x v="3"/>
    </i>
    <i r="3">
      <x v="5"/>
    </i>
    <i r="3">
      <x v="6"/>
    </i>
    <i r="3">
      <x v="14"/>
    </i>
    <i r="2">
      <x v="1"/>
    </i>
    <i r="3">
      <x/>
    </i>
    <i r="3">
      <x v="13"/>
    </i>
    <i r="2">
      <x v="2"/>
    </i>
    <i r="3">
      <x v="4"/>
    </i>
    <i r="2">
      <x v="3"/>
    </i>
    <i r="3">
      <x v="7"/>
    </i>
    <i r="3">
      <x v="8"/>
    </i>
    <i r="3">
      <x v="9"/>
    </i>
    <i r="3">
      <x v="10"/>
    </i>
    <i r="3">
      <x v="11"/>
    </i>
    <i r="3">
      <x v="12"/>
    </i>
    <i r="3">
      <x v="17"/>
    </i>
    <i r="2">
      <x v="4"/>
    </i>
    <i r="3">
      <x v="16"/>
    </i>
    <i r="2">
      <x v="5"/>
    </i>
    <i r="3">
      <x v="2"/>
    </i>
    <i r="1">
      <x v="2"/>
    </i>
    <i r="2">
      <x/>
    </i>
    <i r="3">
      <x v="1"/>
    </i>
    <i r="3">
      <x v="3"/>
    </i>
    <i r="3">
      <x v="5"/>
    </i>
    <i r="3">
      <x v="6"/>
    </i>
    <i r="2">
      <x v="1"/>
    </i>
    <i r="3">
      <x v="13"/>
    </i>
    <i r="2">
      <x v="2"/>
    </i>
    <i r="3">
      <x v="4"/>
    </i>
    <i r="2">
      <x v="3"/>
    </i>
    <i r="3">
      <x v="7"/>
    </i>
    <i r="3">
      <x v="8"/>
    </i>
    <i r="3">
      <x v="9"/>
    </i>
    <i r="3">
      <x v="10"/>
    </i>
    <i r="3">
      <x v="11"/>
    </i>
    <i r="3">
      <x v="12"/>
    </i>
    <i r="3">
      <x v="17"/>
    </i>
    <i r="2">
      <x v="4"/>
    </i>
    <i r="3">
      <x v="16"/>
    </i>
    <i r="2">
      <x v="5"/>
    </i>
    <i r="3">
      <x v="2"/>
    </i>
    <i t="grand">
      <x/>
    </i>
  </rowItems>
  <colFields count="1">
    <field x="-2"/>
  </colFields>
  <colItems count="3">
    <i>
      <x/>
    </i>
    <i i="1">
      <x v="1"/>
    </i>
    <i i="2">
      <x v="2"/>
    </i>
  </colItems>
  <dataFields count="3">
    <dataField name="Sum of Sales" fld="18" baseField="0" baseItem="0" numFmtId="44"/>
    <dataField name="Sum of Profit" fld="21" baseField="0" baseItem="0" numFmtId="44"/>
    <dataField name="Sum of Profit Margin" fld="24" baseField="15" baseItem="0" numFmtId="10"/>
  </dataFields>
  <formats count="54">
    <format dxfId="56">
      <pivotArea dataOnly="0" outline="0" fieldPosition="0">
        <references count="1">
          <reference field="4294967294" count="1">
            <x v="2"/>
          </reference>
        </references>
      </pivotArea>
    </format>
    <format dxfId="55">
      <pivotArea field="10" type="button" dataOnly="0" labelOnly="1" outline="0" axis="axisRow" fieldPosition="0"/>
    </format>
    <format dxfId="54">
      <pivotArea dataOnly="0" labelOnly="1" outline="0" fieldPosition="0">
        <references count="1">
          <reference field="4294967294" count="3">
            <x v="0"/>
            <x v="1"/>
            <x v="2"/>
          </reference>
        </references>
      </pivotArea>
    </format>
    <format dxfId="53">
      <pivotArea collapsedLevelsAreSubtotals="1" fieldPosition="0">
        <references count="1">
          <reference field="10" count="0"/>
        </references>
      </pivotArea>
    </format>
    <format dxfId="52">
      <pivotArea dataOnly="0" labelOnly="1" fieldPosition="0">
        <references count="1">
          <reference field="10" count="0"/>
        </references>
      </pivotArea>
    </format>
    <format dxfId="51">
      <pivotArea collapsedLevelsAreSubtotals="1" fieldPosition="0">
        <references count="2">
          <reference field="10" count="0" selected="0"/>
          <reference field="15" count="1">
            <x v="0"/>
          </reference>
        </references>
      </pivotArea>
    </format>
    <format dxfId="50">
      <pivotArea dataOnly="0" labelOnly="1" fieldPosition="0">
        <references count="2">
          <reference field="10" count="0" selected="0"/>
          <reference field="15" count="1">
            <x v="0"/>
          </reference>
        </references>
      </pivotArea>
    </format>
    <format dxfId="49">
      <pivotArea collapsedLevelsAreSubtotals="1" fieldPosition="0">
        <references count="2">
          <reference field="10" count="0" selected="0"/>
          <reference field="15" count="1">
            <x v="0"/>
          </reference>
        </references>
      </pivotArea>
    </format>
    <format dxfId="48">
      <pivotArea dataOnly="0" labelOnly="1" fieldPosition="0">
        <references count="2">
          <reference field="10" count="0" selected="0"/>
          <reference field="15" count="1">
            <x v="0"/>
          </reference>
        </references>
      </pivotArea>
    </format>
    <format dxfId="47">
      <pivotArea collapsedLevelsAreSubtotals="1" fieldPosition="0">
        <references count="2">
          <reference field="10" count="0" selected="0"/>
          <reference field="15" count="1">
            <x v="1"/>
          </reference>
        </references>
      </pivotArea>
    </format>
    <format dxfId="46">
      <pivotArea dataOnly="0" labelOnly="1" fieldPosition="0">
        <references count="2">
          <reference field="10" count="0" selected="0"/>
          <reference field="15" count="1">
            <x v="1"/>
          </reference>
        </references>
      </pivotArea>
    </format>
    <format dxfId="45">
      <pivotArea collapsedLevelsAreSubtotals="1" fieldPosition="0">
        <references count="2">
          <reference field="10" count="0" selected="0"/>
          <reference field="15" count="1">
            <x v="1"/>
          </reference>
        </references>
      </pivotArea>
    </format>
    <format dxfId="44">
      <pivotArea dataOnly="0" labelOnly="1" fieldPosition="0">
        <references count="2">
          <reference field="10" count="0" selected="0"/>
          <reference field="15" count="1">
            <x v="1"/>
          </reference>
        </references>
      </pivotArea>
    </format>
    <format dxfId="43">
      <pivotArea dataOnly="0" fieldPosition="0">
        <references count="1">
          <reference field="15" count="1">
            <x v="2"/>
          </reference>
        </references>
      </pivotArea>
    </format>
    <format dxfId="42">
      <pivotArea dataOnly="0" fieldPosition="0">
        <references count="1">
          <reference field="15" count="1">
            <x v="2"/>
          </reference>
        </references>
      </pivotArea>
    </format>
    <format dxfId="41">
      <pivotArea dataOnly="0" labelOnly="1" outline="0" fieldPosition="0">
        <references count="1">
          <reference field="4294967294" count="1">
            <x v="2"/>
          </reference>
        </references>
      </pivotArea>
    </format>
    <format dxfId="40">
      <pivotArea outline="0" fieldPosition="0">
        <references count="1">
          <reference field="4294967294" count="1">
            <x v="2"/>
          </reference>
        </references>
      </pivotArea>
    </format>
    <format dxfId="39">
      <pivotArea outline="0" collapsedLevelsAreSubtotals="1" fieldPosition="0">
        <references count="1">
          <reference field="4294967294" count="2" selected="0">
            <x v="0"/>
            <x v="1"/>
          </reference>
        </references>
      </pivotArea>
    </format>
    <format dxfId="38">
      <pivotArea collapsedLevelsAreSubtotals="1" fieldPosition="0">
        <references count="4">
          <reference field="4294967294" count="2" selected="0">
            <x v="0"/>
            <x v="1"/>
          </reference>
          <reference field="9" count="1">
            <x v="0"/>
          </reference>
          <reference field="10" count="0" selected="0"/>
          <reference field="15" count="1" selected="0">
            <x v="0"/>
          </reference>
        </references>
      </pivotArea>
    </format>
    <format dxfId="37">
      <pivotArea collapsedLevelsAreSubtotals="1" fieldPosition="0">
        <references count="5">
          <reference field="4294967294" count="2" selected="0">
            <x v="0"/>
            <x v="1"/>
          </reference>
          <reference field="8" count="6">
            <x v="1"/>
            <x v="3"/>
            <x v="5"/>
            <x v="6"/>
            <x v="14"/>
            <x v="15"/>
          </reference>
          <reference field="9" count="1" selected="0">
            <x v="0"/>
          </reference>
          <reference field="10" count="0" selected="0"/>
          <reference field="15" count="1" selected="0">
            <x v="0"/>
          </reference>
        </references>
      </pivotArea>
    </format>
    <format dxfId="36">
      <pivotArea collapsedLevelsAreSubtotals="1" fieldPosition="0">
        <references count="4">
          <reference field="4294967294" count="2" selected="0">
            <x v="0"/>
            <x v="1"/>
          </reference>
          <reference field="9" count="1">
            <x v="1"/>
          </reference>
          <reference field="10" count="0" selected="0"/>
          <reference field="15" count="1" selected="0">
            <x v="0"/>
          </reference>
        </references>
      </pivotArea>
    </format>
    <format dxfId="35">
      <pivotArea collapsedLevelsAreSubtotals="1" fieldPosition="0">
        <references count="5">
          <reference field="4294967294" count="2" selected="0">
            <x v="0"/>
            <x v="1"/>
          </reference>
          <reference field="8" count="2">
            <x v="0"/>
            <x v="13"/>
          </reference>
          <reference field="9" count="1" selected="0">
            <x v="1"/>
          </reference>
          <reference field="10" count="0" selected="0"/>
          <reference field="15" count="1" selected="0">
            <x v="0"/>
          </reference>
        </references>
      </pivotArea>
    </format>
    <format dxfId="34">
      <pivotArea collapsedLevelsAreSubtotals="1" fieldPosition="0">
        <references count="4">
          <reference field="4294967294" count="2" selected="0">
            <x v="0"/>
            <x v="1"/>
          </reference>
          <reference field="9" count="1">
            <x v="2"/>
          </reference>
          <reference field="10" count="0" selected="0"/>
          <reference field="15" count="1" selected="0">
            <x v="0"/>
          </reference>
        </references>
      </pivotArea>
    </format>
    <format dxfId="33">
      <pivotArea collapsedLevelsAreSubtotals="1" fieldPosition="0">
        <references count="5">
          <reference field="4294967294" count="2" selected="0">
            <x v="0"/>
            <x v="1"/>
          </reference>
          <reference field="8" count="1">
            <x v="4"/>
          </reference>
          <reference field="9" count="1" selected="0">
            <x v="2"/>
          </reference>
          <reference field="10" count="0" selected="0"/>
          <reference field="15" count="1" selected="0">
            <x v="0"/>
          </reference>
        </references>
      </pivotArea>
    </format>
    <format dxfId="32">
      <pivotArea collapsedLevelsAreSubtotals="1" fieldPosition="0">
        <references count="4">
          <reference field="4294967294" count="2" selected="0">
            <x v="0"/>
            <x v="1"/>
          </reference>
          <reference field="9" count="1">
            <x v="3"/>
          </reference>
          <reference field="10" count="0" selected="0"/>
          <reference field="15" count="1" selected="0">
            <x v="0"/>
          </reference>
        </references>
      </pivotArea>
    </format>
    <format dxfId="31">
      <pivotArea collapsedLevelsAreSubtotals="1" fieldPosition="0">
        <references count="5">
          <reference field="4294967294" count="2" selected="0">
            <x v="0"/>
            <x v="1"/>
          </reference>
          <reference field="8" count="7">
            <x v="7"/>
            <x v="8"/>
            <x v="9"/>
            <x v="10"/>
            <x v="11"/>
            <x v="12"/>
            <x v="17"/>
          </reference>
          <reference field="9" count="1" selected="0">
            <x v="3"/>
          </reference>
          <reference field="10" count="0" selected="0"/>
          <reference field="15" count="1" selected="0">
            <x v="0"/>
          </reference>
        </references>
      </pivotArea>
    </format>
    <format dxfId="30">
      <pivotArea collapsedLevelsAreSubtotals="1" fieldPosition="0">
        <references count="4">
          <reference field="4294967294" count="2" selected="0">
            <x v="0"/>
            <x v="1"/>
          </reference>
          <reference field="9" count="1">
            <x v="4"/>
          </reference>
          <reference field="10" count="0" selected="0"/>
          <reference field="15" count="1" selected="0">
            <x v="0"/>
          </reference>
        </references>
      </pivotArea>
    </format>
    <format dxfId="29">
      <pivotArea collapsedLevelsAreSubtotals="1" fieldPosition="0">
        <references count="5">
          <reference field="4294967294" count="2" selected="0">
            <x v="0"/>
            <x v="1"/>
          </reference>
          <reference field="8" count="1">
            <x v="16"/>
          </reference>
          <reference field="9" count="1" selected="0">
            <x v="4"/>
          </reference>
          <reference field="10" count="0" selected="0"/>
          <reference field="15" count="1" selected="0">
            <x v="0"/>
          </reference>
        </references>
      </pivotArea>
    </format>
    <format dxfId="28">
      <pivotArea collapsedLevelsAreSubtotals="1" fieldPosition="0">
        <references count="4">
          <reference field="4294967294" count="2" selected="0">
            <x v="0"/>
            <x v="1"/>
          </reference>
          <reference field="9" count="1">
            <x v="5"/>
          </reference>
          <reference field="10" count="0" selected="0"/>
          <reference field="15" count="1" selected="0">
            <x v="0"/>
          </reference>
        </references>
      </pivotArea>
    </format>
    <format dxfId="27">
      <pivotArea collapsedLevelsAreSubtotals="1" fieldPosition="0">
        <references count="5">
          <reference field="4294967294" count="2" selected="0">
            <x v="0"/>
            <x v="1"/>
          </reference>
          <reference field="8" count="1">
            <x v="2"/>
          </reference>
          <reference field="9" count="1" selected="0">
            <x v="5"/>
          </reference>
          <reference field="10" count="0" selected="0"/>
          <reference field="15" count="1" selected="0">
            <x v="0"/>
          </reference>
        </references>
      </pivotArea>
    </format>
    <format dxfId="26">
      <pivotArea collapsedLevelsAreSubtotals="1" fieldPosition="0">
        <references count="4">
          <reference field="4294967294" count="2" selected="0">
            <x v="0"/>
            <x v="1"/>
          </reference>
          <reference field="9" count="1">
            <x v="0"/>
          </reference>
          <reference field="10" count="0" selected="0"/>
          <reference field="15" count="1" selected="0">
            <x v="1"/>
          </reference>
        </references>
      </pivotArea>
    </format>
    <format dxfId="25">
      <pivotArea collapsedLevelsAreSubtotals="1" fieldPosition="0">
        <references count="5">
          <reference field="4294967294" count="2" selected="0">
            <x v="0"/>
            <x v="1"/>
          </reference>
          <reference field="8" count="5">
            <x v="1"/>
            <x v="3"/>
            <x v="5"/>
            <x v="6"/>
            <x v="14"/>
          </reference>
          <reference field="9" count="1" selected="0">
            <x v="0"/>
          </reference>
          <reference field="10" count="0" selected="0"/>
          <reference field="15" count="1" selected="0">
            <x v="1"/>
          </reference>
        </references>
      </pivotArea>
    </format>
    <format dxfId="24">
      <pivotArea collapsedLevelsAreSubtotals="1" fieldPosition="0">
        <references count="4">
          <reference field="4294967294" count="2" selected="0">
            <x v="0"/>
            <x v="1"/>
          </reference>
          <reference field="9" count="1">
            <x v="1"/>
          </reference>
          <reference field="10" count="0" selected="0"/>
          <reference field="15" count="1" selected="0">
            <x v="1"/>
          </reference>
        </references>
      </pivotArea>
    </format>
    <format dxfId="23">
      <pivotArea collapsedLevelsAreSubtotals="1" fieldPosition="0">
        <references count="5">
          <reference field="4294967294" count="2" selected="0">
            <x v="0"/>
            <x v="1"/>
          </reference>
          <reference field="8" count="2">
            <x v="0"/>
            <x v="13"/>
          </reference>
          <reference field="9" count="1" selected="0">
            <x v="1"/>
          </reference>
          <reference field="10" count="0" selected="0"/>
          <reference field="15" count="1" selected="0">
            <x v="1"/>
          </reference>
        </references>
      </pivotArea>
    </format>
    <format dxfId="22">
      <pivotArea collapsedLevelsAreSubtotals="1" fieldPosition="0">
        <references count="4">
          <reference field="4294967294" count="2" selected="0">
            <x v="0"/>
            <x v="1"/>
          </reference>
          <reference field="9" count="1">
            <x v="2"/>
          </reference>
          <reference field="10" count="0" selected="0"/>
          <reference field="15" count="1" selected="0">
            <x v="1"/>
          </reference>
        </references>
      </pivotArea>
    </format>
    <format dxfId="21">
      <pivotArea collapsedLevelsAreSubtotals="1" fieldPosition="0">
        <references count="5">
          <reference field="4294967294" count="2" selected="0">
            <x v="0"/>
            <x v="1"/>
          </reference>
          <reference field="8" count="1">
            <x v="4"/>
          </reference>
          <reference field="9" count="1" selected="0">
            <x v="2"/>
          </reference>
          <reference field="10" count="0" selected="0"/>
          <reference field="15" count="1" selected="0">
            <x v="1"/>
          </reference>
        </references>
      </pivotArea>
    </format>
    <format dxfId="20">
      <pivotArea collapsedLevelsAreSubtotals="1" fieldPosition="0">
        <references count="4">
          <reference field="4294967294" count="2" selected="0">
            <x v="0"/>
            <x v="1"/>
          </reference>
          <reference field="9" count="1">
            <x v="3"/>
          </reference>
          <reference field="10" count="0" selected="0"/>
          <reference field="15" count="1" selected="0">
            <x v="1"/>
          </reference>
        </references>
      </pivotArea>
    </format>
    <format dxfId="19">
      <pivotArea collapsedLevelsAreSubtotals="1" fieldPosition="0">
        <references count="5">
          <reference field="4294967294" count="2" selected="0">
            <x v="0"/>
            <x v="1"/>
          </reference>
          <reference field="8" count="7">
            <x v="7"/>
            <x v="8"/>
            <x v="9"/>
            <x v="10"/>
            <x v="11"/>
            <x v="12"/>
            <x v="17"/>
          </reference>
          <reference field="9" count="1" selected="0">
            <x v="3"/>
          </reference>
          <reference field="10" count="0" selected="0"/>
          <reference field="15" count="1" selected="0">
            <x v="1"/>
          </reference>
        </references>
      </pivotArea>
    </format>
    <format dxfId="18">
      <pivotArea collapsedLevelsAreSubtotals="1" fieldPosition="0">
        <references count="4">
          <reference field="4294967294" count="2" selected="0">
            <x v="0"/>
            <x v="1"/>
          </reference>
          <reference field="9" count="1">
            <x v="4"/>
          </reference>
          <reference field="10" count="0" selected="0"/>
          <reference field="15" count="1" selected="0">
            <x v="1"/>
          </reference>
        </references>
      </pivotArea>
    </format>
    <format dxfId="17">
      <pivotArea collapsedLevelsAreSubtotals="1" fieldPosition="0">
        <references count="5">
          <reference field="4294967294" count="2" selected="0">
            <x v="0"/>
            <x v="1"/>
          </reference>
          <reference field="8" count="1">
            <x v="16"/>
          </reference>
          <reference field="9" count="1" selected="0">
            <x v="4"/>
          </reference>
          <reference field="10" count="0" selected="0"/>
          <reference field="15" count="1" selected="0">
            <x v="1"/>
          </reference>
        </references>
      </pivotArea>
    </format>
    <format dxfId="16">
      <pivotArea collapsedLevelsAreSubtotals="1" fieldPosition="0">
        <references count="4">
          <reference field="4294967294" count="2" selected="0">
            <x v="0"/>
            <x v="1"/>
          </reference>
          <reference field="9" count="1">
            <x v="5"/>
          </reference>
          <reference field="10" count="0" selected="0"/>
          <reference field="15" count="1" selected="0">
            <x v="1"/>
          </reference>
        </references>
      </pivotArea>
    </format>
    <format dxfId="15">
      <pivotArea collapsedLevelsAreSubtotals="1" fieldPosition="0">
        <references count="5">
          <reference field="4294967294" count="2" selected="0">
            <x v="0"/>
            <x v="1"/>
          </reference>
          <reference field="8" count="1">
            <x v="2"/>
          </reference>
          <reference field="9" count="1" selected="0">
            <x v="5"/>
          </reference>
          <reference field="10" count="0" selected="0"/>
          <reference field="15" count="1" selected="0">
            <x v="1"/>
          </reference>
        </references>
      </pivotArea>
    </format>
    <format dxfId="14">
      <pivotArea collapsedLevelsAreSubtotals="1" fieldPosition="0">
        <references count="4">
          <reference field="4294967294" count="2" selected="0">
            <x v="0"/>
            <x v="1"/>
          </reference>
          <reference field="9" count="1">
            <x v="0"/>
          </reference>
          <reference field="10" count="0" selected="0"/>
          <reference field="15" count="1" selected="0">
            <x v="2"/>
          </reference>
        </references>
      </pivotArea>
    </format>
    <format dxfId="13">
      <pivotArea collapsedLevelsAreSubtotals="1" fieldPosition="0">
        <references count="5">
          <reference field="4294967294" count="2" selected="0">
            <x v="0"/>
            <x v="1"/>
          </reference>
          <reference field="8" count="4">
            <x v="1"/>
            <x v="3"/>
            <x v="5"/>
            <x v="6"/>
          </reference>
          <reference field="9" count="1" selected="0">
            <x v="0"/>
          </reference>
          <reference field="10" count="0" selected="0"/>
          <reference field="15" count="1" selected="0">
            <x v="2"/>
          </reference>
        </references>
      </pivotArea>
    </format>
    <format dxfId="12">
      <pivotArea collapsedLevelsAreSubtotals="1" fieldPosition="0">
        <references count="4">
          <reference field="4294967294" count="2" selected="0">
            <x v="0"/>
            <x v="1"/>
          </reference>
          <reference field="9" count="1">
            <x v="1"/>
          </reference>
          <reference field="10" count="0" selected="0"/>
          <reference field="15" count="1" selected="0">
            <x v="2"/>
          </reference>
        </references>
      </pivotArea>
    </format>
    <format dxfId="11">
      <pivotArea collapsedLevelsAreSubtotals="1" fieldPosition="0">
        <references count="5">
          <reference field="4294967294" count="2" selected="0">
            <x v="0"/>
            <x v="1"/>
          </reference>
          <reference field="8" count="1">
            <x v="13"/>
          </reference>
          <reference field="9" count="1" selected="0">
            <x v="1"/>
          </reference>
          <reference field="10" count="0" selected="0"/>
          <reference field="15" count="1" selected="0">
            <x v="2"/>
          </reference>
        </references>
      </pivotArea>
    </format>
    <format dxfId="10">
      <pivotArea collapsedLevelsAreSubtotals="1" fieldPosition="0">
        <references count="4">
          <reference field="4294967294" count="2" selected="0">
            <x v="0"/>
            <x v="1"/>
          </reference>
          <reference field="9" count="1">
            <x v="2"/>
          </reference>
          <reference field="10" count="0" selected="0"/>
          <reference field="15" count="1" selected="0">
            <x v="2"/>
          </reference>
        </references>
      </pivotArea>
    </format>
    <format dxfId="9">
      <pivotArea collapsedLevelsAreSubtotals="1" fieldPosition="0">
        <references count="5">
          <reference field="4294967294" count="2" selected="0">
            <x v="0"/>
            <x v="1"/>
          </reference>
          <reference field="8" count="1">
            <x v="4"/>
          </reference>
          <reference field="9" count="1" selected="0">
            <x v="2"/>
          </reference>
          <reference field="10" count="0" selected="0"/>
          <reference field="15" count="1" selected="0">
            <x v="2"/>
          </reference>
        </references>
      </pivotArea>
    </format>
    <format dxfId="8">
      <pivotArea collapsedLevelsAreSubtotals="1" fieldPosition="0">
        <references count="4">
          <reference field="4294967294" count="2" selected="0">
            <x v="0"/>
            <x v="1"/>
          </reference>
          <reference field="9" count="1">
            <x v="3"/>
          </reference>
          <reference field="10" count="0" selected="0"/>
          <reference field="15" count="1" selected="0">
            <x v="2"/>
          </reference>
        </references>
      </pivotArea>
    </format>
    <format dxfId="7">
      <pivotArea collapsedLevelsAreSubtotals="1" fieldPosition="0">
        <references count="5">
          <reference field="4294967294" count="2" selected="0">
            <x v="0"/>
            <x v="1"/>
          </reference>
          <reference field="8" count="7">
            <x v="7"/>
            <x v="8"/>
            <x v="9"/>
            <x v="10"/>
            <x v="11"/>
            <x v="12"/>
            <x v="17"/>
          </reference>
          <reference field="9" count="1" selected="0">
            <x v="3"/>
          </reference>
          <reference field="10" count="0" selected="0"/>
          <reference field="15" count="1" selected="0">
            <x v="2"/>
          </reference>
        </references>
      </pivotArea>
    </format>
    <format dxfId="6">
      <pivotArea collapsedLevelsAreSubtotals="1" fieldPosition="0">
        <references count="4">
          <reference field="4294967294" count="2" selected="0">
            <x v="0"/>
            <x v="1"/>
          </reference>
          <reference field="9" count="1">
            <x v="4"/>
          </reference>
          <reference field="10" count="0" selected="0"/>
          <reference field="15" count="1" selected="0">
            <x v="2"/>
          </reference>
        </references>
      </pivotArea>
    </format>
    <format dxfId="5">
      <pivotArea collapsedLevelsAreSubtotals="1" fieldPosition="0">
        <references count="5">
          <reference field="4294967294" count="2" selected="0">
            <x v="0"/>
            <x v="1"/>
          </reference>
          <reference field="8" count="1">
            <x v="16"/>
          </reference>
          <reference field="9" count="1" selected="0">
            <x v="4"/>
          </reference>
          <reference field="10" count="0" selected="0"/>
          <reference field="15" count="1" selected="0">
            <x v="2"/>
          </reference>
        </references>
      </pivotArea>
    </format>
    <format dxfId="4">
      <pivotArea collapsedLevelsAreSubtotals="1" fieldPosition="0">
        <references count="4">
          <reference field="4294967294" count="2" selected="0">
            <x v="0"/>
            <x v="1"/>
          </reference>
          <reference field="9" count="1">
            <x v="5"/>
          </reference>
          <reference field="10" count="0" selected="0"/>
          <reference field="15" count="1" selected="0">
            <x v="2"/>
          </reference>
        </references>
      </pivotArea>
    </format>
    <format dxfId="3">
      <pivotArea collapsedLevelsAreSubtotals="1" fieldPosition="0">
        <references count="5">
          <reference field="4294967294" count="2" selected="0">
            <x v="0"/>
            <x v="1"/>
          </reference>
          <reference field="8" count="1">
            <x v="2"/>
          </reference>
          <reference field="9" count="1" selected="0">
            <x v="5"/>
          </reference>
          <reference field="10" count="0" selected="0"/>
          <reference field="15" count="1" selected="0">
            <x v="2"/>
          </reference>
        </references>
      </pivotArea>
    </format>
  </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09F56F26-BE8B-4B82-88C6-EC14701FFFF4}" sourceName="Segment">
  <pivotTables>
    <pivotTable tabId="7" name="PivotTable2"/>
  </pivotTables>
  <data>
    <tabular pivotCacheId="2110579578">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2F05F358-C360-4391-BB44-062AB809B9FC}" sourceName="City">
  <pivotTables>
    <pivotTable tabId="7" name="PivotTable2"/>
  </pivotTables>
  <data>
    <tabular pivotCacheId="2110579578">
      <items count="18">
        <i x="14" s="1"/>
        <i x="4" s="1"/>
        <i x="8" s="1"/>
        <i x="9" s="1"/>
        <i x="7" s="1"/>
        <i x="11" s="1"/>
        <i x="12" s="1"/>
        <i x="13" s="1"/>
        <i x="3" s="1"/>
        <i x="16" s="1"/>
        <i x="0" s="1"/>
        <i x="2" s="1"/>
        <i x="15" s="1"/>
        <i x="1" s="1"/>
        <i x="17" s="1"/>
        <i x="6" s="1"/>
        <i x="10"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DE68435D-26BC-40BD-A78D-834853CA38CF}" cache="Slicer_Segment" caption="Segment" rowHeight="257175"/>
  <slicer name="City" xr10:uid="{1AFB9D42-F56D-46AB-86FF-B33EC7C7E35A}" cache="Slicer_City" caption="City" startItem="6"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08D50B4-9772-48A7-BB4B-C4DADC713725}" name="Table2" displayName="Table2" ref="A1:X682" totalsRowShown="0">
  <autoFilter ref="A1:X682" xr:uid="{00000000-0009-0000-0000-000000000000}"/>
  <tableColumns count="24">
    <tableColumn id="1" xr3:uid="{9F3F49B8-2FE1-4926-AAC9-6032B9D5075F}" name="Row ID"/>
    <tableColumn id="2" xr3:uid="{C0B88CE2-B6B0-4662-A6B5-B9865934F7EB}" name="Order ID"/>
    <tableColumn id="3" xr3:uid="{A3E4296A-950C-4E53-8D96-61FB727E2C87}" name="Order Date" dataDxfId="2"/>
    <tableColumn id="4" xr3:uid="{70F68470-4AF8-44C8-BA0A-7ADD421278DF}" name="Ship Date" dataDxfId="1"/>
    <tableColumn id="5" xr3:uid="{167249C1-0488-4E22-8257-2EE601615079}" name="Ship Mode"/>
    <tableColumn id="6" xr3:uid="{9DC699A5-0131-4D7D-B3F6-801D6DAB10E8}" name="Customer ID"/>
    <tableColumn id="7" xr3:uid="{39E06386-A9CC-4A4C-8C18-8E62C3595EED}" name="Customer Name"/>
    <tableColumn id="8" xr3:uid="{AD9F06C1-B674-43B9-816F-E7DFD74B0FFD}" name="Segment"/>
    <tableColumn id="9" xr3:uid="{67BC6B00-87DC-41E8-BAC6-A3AFF6CD9798}" name="City"/>
    <tableColumn id="10" xr3:uid="{CDA1F292-F81F-4219-A343-D6C8D1671A0B}" name="State"/>
    <tableColumn id="11" xr3:uid="{BA8AA1F3-4259-4192-815D-DFFEA02394C0}" name="Country"/>
    <tableColumn id="12" xr3:uid="{77C25C07-6D6F-49ED-83FC-9F69BBB6D931}" name="Postal Code"/>
    <tableColumn id="13" xr3:uid="{C58E10F5-116A-4E61-9BE8-27671ACF377E}" name="Market"/>
    <tableColumn id="14" xr3:uid="{F106AF36-8A6B-47F7-AC19-AE08188D23AD}" name="Region"/>
    <tableColumn id="15" xr3:uid="{8A990E9C-572E-4428-B20B-F69185729C58}" name="Product ID"/>
    <tableColumn id="16" xr3:uid="{2AF3B099-1357-4206-9D1A-187DF608DF3C}" name="Category"/>
    <tableColumn id="17" xr3:uid="{5FC78077-902A-488D-BD3E-D25E58AC7543}" name="Sub-Category"/>
    <tableColumn id="18" xr3:uid="{896CC5F5-51AB-45AB-959C-B1F99472AE0D}" name="Product Name"/>
    <tableColumn id="19" xr3:uid="{21BEC7BF-840E-4C72-B24A-F1B6B14ADE34}" name="Sales"/>
    <tableColumn id="20" xr3:uid="{AB5225A4-FD53-459B-97CB-F76316FB5AA4}" name="Quantity"/>
    <tableColumn id="21" xr3:uid="{B15D4FB7-76FB-4138-A24F-E40E05E11EEF}" name="Discount"/>
    <tableColumn id="22" xr3:uid="{EB13028D-9A76-43DA-A608-32CDF013B24B}" name="Profit"/>
    <tableColumn id="23" xr3:uid="{E80A331A-D3C6-4B39-B828-EE30B4B9DF16}" name="Shipping Cost" dataDxfId="0" dataCellStyle="Comma"/>
    <tableColumn id="24" xr3:uid="{FAFB900F-0706-4AC7-9283-C6BE581D3B5B}" name="Order Priority"/>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52ACA-AB1C-45F4-A199-D20555CC57D0}">
  <sheetPr>
    <tabColor rgb="FF000818"/>
  </sheetPr>
  <dimension ref="A3:G76"/>
  <sheetViews>
    <sheetView tabSelected="1" topLeftCell="A18" zoomScale="61" zoomScaleNormal="100" workbookViewId="0">
      <selection activeCell="N25" sqref="N25"/>
    </sheetView>
  </sheetViews>
  <sheetFormatPr defaultRowHeight="15.75" x14ac:dyDescent="0.25"/>
  <cols>
    <col min="1" max="1" width="25" bestFit="1" customWidth="1"/>
    <col min="2" max="2" width="12.25" bestFit="1" customWidth="1"/>
    <col min="3" max="3" width="11.25" bestFit="1" customWidth="1"/>
    <col min="4" max="4" width="17.75" bestFit="1" customWidth="1"/>
    <col min="5" max="5" width="13.375" bestFit="1" customWidth="1"/>
    <col min="6" max="6" width="13.75" bestFit="1" customWidth="1"/>
    <col min="7" max="7" width="21.625" bestFit="1" customWidth="1"/>
    <col min="8" max="8" width="18.875" bestFit="1" customWidth="1"/>
    <col min="9" max="9" width="13.375" bestFit="1" customWidth="1"/>
    <col min="10" max="10" width="10.625" bestFit="1" customWidth="1"/>
    <col min="11" max="11" width="16.5" bestFit="1" customWidth="1"/>
    <col min="12" max="12" width="17" bestFit="1" customWidth="1"/>
    <col min="13" max="13" width="23.625" bestFit="1" customWidth="1"/>
  </cols>
  <sheetData>
    <row r="3" spans="1:7" x14ac:dyDescent="0.25">
      <c r="A3" s="10" t="s">
        <v>3290</v>
      </c>
      <c r="B3" s="10" t="s">
        <v>3292</v>
      </c>
      <c r="C3" s="10" t="s">
        <v>3293</v>
      </c>
      <c r="D3" s="14" t="s">
        <v>3294</v>
      </c>
      <c r="E3" s="13" t="s">
        <v>3295</v>
      </c>
      <c r="F3" s="13" t="s">
        <v>3296</v>
      </c>
      <c r="G3" s="13" t="s">
        <v>3297</v>
      </c>
    </row>
    <row r="4" spans="1:7" x14ac:dyDescent="0.25">
      <c r="A4" s="11" t="s">
        <v>903</v>
      </c>
      <c r="B4" s="18">
        <v>183420.16500000001</v>
      </c>
      <c r="C4" s="18">
        <v>-16128.224999999997</v>
      </c>
      <c r="D4" s="15">
        <v>-8.793049008542772E-2</v>
      </c>
      <c r="E4" s="21">
        <f>IFERROR(GETPIVOTDATA("Sum of Sales",$A$3,"Country","Philippines","Category","Technology"),0)</f>
        <v>67912.727999999988</v>
      </c>
      <c r="F4" s="21">
        <f>100000-E4</f>
        <v>32087.272000000012</v>
      </c>
      <c r="G4" s="17">
        <f>IFERROR(E4/100000, 0)</f>
        <v>0.67912727999999989</v>
      </c>
    </row>
    <row r="5" spans="1:7" x14ac:dyDescent="0.25">
      <c r="A5" s="12" t="s">
        <v>27</v>
      </c>
      <c r="B5" s="19">
        <v>74138.347500000018</v>
      </c>
      <c r="C5" s="19">
        <v>-3635.0925000000007</v>
      </c>
      <c r="D5" s="16">
        <v>-4.903120480261583E-2</v>
      </c>
    </row>
    <row r="6" spans="1:7" x14ac:dyDescent="0.25">
      <c r="A6" s="7" t="s">
        <v>911</v>
      </c>
      <c r="B6">
        <v>5545.29</v>
      </c>
      <c r="C6">
        <v>-657.15000000000009</v>
      </c>
      <c r="D6" s="9">
        <v>-0.11850597534123557</v>
      </c>
    </row>
    <row r="7" spans="1:7" x14ac:dyDescent="0.25">
      <c r="A7" s="8" t="s">
        <v>916</v>
      </c>
      <c r="B7">
        <v>1391.3159999999998</v>
      </c>
      <c r="C7">
        <v>-70.043999999999926</v>
      </c>
      <c r="D7" s="9">
        <v>-5.0343703371484215E-2</v>
      </c>
    </row>
    <row r="8" spans="1:7" x14ac:dyDescent="0.25">
      <c r="A8" s="8" t="s">
        <v>918</v>
      </c>
      <c r="B8">
        <v>1176.2925</v>
      </c>
      <c r="C8">
        <v>-29.617499999999978</v>
      </c>
      <c r="D8" s="9">
        <v>-2.5178686423657361E-2</v>
      </c>
    </row>
    <row r="9" spans="1:7" x14ac:dyDescent="0.25">
      <c r="A9" s="8" t="s">
        <v>924</v>
      </c>
      <c r="B9">
        <v>989.84699999999998</v>
      </c>
      <c r="C9">
        <v>-368.31300000000005</v>
      </c>
      <c r="D9" s="9">
        <v>-0.37209083828106776</v>
      </c>
    </row>
    <row r="10" spans="1:7" x14ac:dyDescent="0.25">
      <c r="A10" s="8" t="s">
        <v>920</v>
      </c>
      <c r="B10">
        <v>77.715000000000003</v>
      </c>
      <c r="C10">
        <v>23.774999999999991</v>
      </c>
      <c r="D10" s="9">
        <v>0.30592549700829941</v>
      </c>
    </row>
    <row r="11" spans="1:7" x14ac:dyDescent="0.25">
      <c r="A11" s="8" t="s">
        <v>82</v>
      </c>
      <c r="B11">
        <v>30.69</v>
      </c>
      <c r="C11">
        <v>-5.3400000000000007</v>
      </c>
      <c r="D11" s="9">
        <v>-0.17399804496578691</v>
      </c>
    </row>
    <row r="12" spans="1:7" x14ac:dyDescent="0.25">
      <c r="A12" s="8" t="s">
        <v>925</v>
      </c>
      <c r="B12">
        <v>1879.4295</v>
      </c>
      <c r="C12">
        <v>-207.61050000000017</v>
      </c>
      <c r="D12" s="9">
        <v>-0.11046463833838949</v>
      </c>
    </row>
    <row r="13" spans="1:7" x14ac:dyDescent="0.25">
      <c r="A13" s="7" t="s">
        <v>915</v>
      </c>
      <c r="B13">
        <v>2534.4120000000003</v>
      </c>
      <c r="C13">
        <v>408.85199999999998</v>
      </c>
      <c r="D13" s="9">
        <v>0.16132025890028928</v>
      </c>
    </row>
    <row r="14" spans="1:7" x14ac:dyDescent="0.25">
      <c r="A14" s="8" t="s">
        <v>917</v>
      </c>
      <c r="B14">
        <v>821.03700000000003</v>
      </c>
      <c r="C14">
        <v>-27.96299999999998</v>
      </c>
      <c r="D14" s="9">
        <v>-3.4058148414748642E-2</v>
      </c>
    </row>
    <row r="15" spans="1:7" x14ac:dyDescent="0.25">
      <c r="A15" s="8" t="s">
        <v>914</v>
      </c>
      <c r="B15">
        <v>1713.375</v>
      </c>
      <c r="C15">
        <v>436.81499999999994</v>
      </c>
      <c r="D15" s="9">
        <v>0.25494418910045957</v>
      </c>
    </row>
    <row r="16" spans="1:7" x14ac:dyDescent="0.25">
      <c r="A16" s="7" t="s">
        <v>913</v>
      </c>
      <c r="B16">
        <v>3552.9105</v>
      </c>
      <c r="C16">
        <v>-976.24949999999978</v>
      </c>
      <c r="D16" s="9">
        <v>-0.27477458269776278</v>
      </c>
    </row>
    <row r="17" spans="1:4" x14ac:dyDescent="0.25">
      <c r="A17" s="8" t="s">
        <v>912</v>
      </c>
      <c r="B17">
        <v>3552.9105</v>
      </c>
      <c r="C17">
        <v>-976.24949999999978</v>
      </c>
      <c r="D17" s="9">
        <v>-0.27477458269776278</v>
      </c>
    </row>
    <row r="18" spans="1:4" x14ac:dyDescent="0.25">
      <c r="A18" s="7" t="s">
        <v>902</v>
      </c>
      <c r="B18">
        <v>59545.897500000014</v>
      </c>
      <c r="C18">
        <v>-2489.2425000000003</v>
      </c>
      <c r="D18" s="9">
        <v>-4.1803761543773847E-2</v>
      </c>
    </row>
    <row r="19" spans="1:4" x14ac:dyDescent="0.25">
      <c r="A19" s="8" t="s">
        <v>901</v>
      </c>
      <c r="B19">
        <v>1953.1304999999998</v>
      </c>
      <c r="C19">
        <v>79.240499999999983</v>
      </c>
      <c r="D19" s="9">
        <v>4.0571021752002744E-2</v>
      </c>
    </row>
    <row r="20" spans="1:4" x14ac:dyDescent="0.25">
      <c r="A20" s="8" t="s">
        <v>909</v>
      </c>
      <c r="B20">
        <v>287.55</v>
      </c>
      <c r="C20">
        <v>74.850000000000009</v>
      </c>
      <c r="D20" s="9">
        <v>0.26030255607720398</v>
      </c>
    </row>
    <row r="21" spans="1:4" x14ac:dyDescent="0.25">
      <c r="A21" s="8" t="s">
        <v>905</v>
      </c>
      <c r="B21">
        <v>1176.3944999999999</v>
      </c>
      <c r="C21">
        <v>-78.11549999999994</v>
      </c>
      <c r="D21" s="9">
        <v>-6.6402469579720028E-2</v>
      </c>
    </row>
    <row r="22" spans="1:4" x14ac:dyDescent="0.25">
      <c r="A22" s="8" t="s">
        <v>906</v>
      </c>
      <c r="B22">
        <v>49773.168000000012</v>
      </c>
      <c r="C22">
        <v>-2091.0420000000004</v>
      </c>
      <c r="D22" s="9">
        <v>-4.2011430737139331E-2</v>
      </c>
    </row>
    <row r="23" spans="1:4" x14ac:dyDescent="0.25">
      <c r="A23" s="8" t="s">
        <v>921</v>
      </c>
      <c r="B23">
        <v>3262.4324999999994</v>
      </c>
      <c r="C23">
        <v>272.3925000000001</v>
      </c>
      <c r="D23" s="9">
        <v>8.3493681478467419E-2</v>
      </c>
    </row>
    <row r="24" spans="1:4" x14ac:dyDescent="0.25">
      <c r="A24" s="8" t="s">
        <v>907</v>
      </c>
      <c r="B24">
        <v>1125.8864999999998</v>
      </c>
      <c r="C24">
        <v>-451.12350000000004</v>
      </c>
      <c r="D24" s="9">
        <v>-0.40068292851899379</v>
      </c>
    </row>
    <row r="25" spans="1:4" x14ac:dyDescent="0.25">
      <c r="A25" s="8" t="s">
        <v>910</v>
      </c>
      <c r="B25">
        <v>1967.3355000000001</v>
      </c>
      <c r="C25">
        <v>-295.44450000000001</v>
      </c>
      <c r="D25" s="9">
        <v>-0.15017494474125029</v>
      </c>
    </row>
    <row r="26" spans="1:4" x14ac:dyDescent="0.25">
      <c r="A26" s="7" t="s">
        <v>919</v>
      </c>
      <c r="B26">
        <v>1031.4749999999999</v>
      </c>
      <c r="C26">
        <v>146.35500000000005</v>
      </c>
      <c r="D26" s="9">
        <v>0.14188904239075117</v>
      </c>
    </row>
    <row r="27" spans="1:4" x14ac:dyDescent="0.25">
      <c r="A27" s="8" t="s">
        <v>220</v>
      </c>
      <c r="B27">
        <v>1031.4749999999999</v>
      </c>
      <c r="C27">
        <v>146.35500000000005</v>
      </c>
      <c r="D27" s="9">
        <v>0.14188904239075117</v>
      </c>
    </row>
    <row r="28" spans="1:4" x14ac:dyDescent="0.25">
      <c r="A28" s="7" t="s">
        <v>923</v>
      </c>
      <c r="B28">
        <v>1928.3624999999995</v>
      </c>
      <c r="C28">
        <v>-67.657499999999843</v>
      </c>
      <c r="D28" s="9">
        <v>-3.5085467592322429E-2</v>
      </c>
    </row>
    <row r="29" spans="1:4" x14ac:dyDescent="0.25">
      <c r="A29" s="8" t="s">
        <v>922</v>
      </c>
      <c r="B29">
        <v>1928.3624999999995</v>
      </c>
      <c r="C29">
        <v>-67.657499999999843</v>
      </c>
      <c r="D29" s="9">
        <v>-3.5085467592322429E-2</v>
      </c>
    </row>
    <row r="30" spans="1:4" x14ac:dyDescent="0.25">
      <c r="A30" s="12" t="s">
        <v>22</v>
      </c>
      <c r="B30" s="19">
        <v>41369.089499999995</v>
      </c>
      <c r="C30" s="19">
        <v>-6535.2404999999953</v>
      </c>
      <c r="D30" s="16">
        <v>-0.15797399892013561</v>
      </c>
    </row>
    <row r="31" spans="1:4" x14ac:dyDescent="0.25">
      <c r="A31" s="7" t="s">
        <v>911</v>
      </c>
      <c r="B31" s="22">
        <v>5139.6539999999995</v>
      </c>
      <c r="C31" s="22">
        <v>-917.73599999999988</v>
      </c>
      <c r="D31" s="9">
        <v>-0.17855987971174708</v>
      </c>
    </row>
    <row r="32" spans="1:4" x14ac:dyDescent="0.25">
      <c r="A32" s="8" t="s">
        <v>916</v>
      </c>
      <c r="B32" s="22">
        <v>3252.1649999999995</v>
      </c>
      <c r="C32" s="22">
        <v>-586.3649999999999</v>
      </c>
      <c r="D32" s="9">
        <v>-0.18029989253312792</v>
      </c>
    </row>
    <row r="33" spans="1:4" x14ac:dyDescent="0.25">
      <c r="A33" s="8" t="s">
        <v>918</v>
      </c>
      <c r="B33" s="22">
        <v>672.42150000000004</v>
      </c>
      <c r="C33" s="22">
        <v>-90.568499999999986</v>
      </c>
      <c r="D33" s="9">
        <v>-0.13469007162917898</v>
      </c>
    </row>
    <row r="34" spans="1:4" x14ac:dyDescent="0.25">
      <c r="A34" s="8" t="s">
        <v>924</v>
      </c>
      <c r="B34" s="22">
        <v>754.60200000000009</v>
      </c>
      <c r="C34" s="22">
        <v>-163.90799999999999</v>
      </c>
      <c r="D34" s="9">
        <v>-0.21721119212512022</v>
      </c>
    </row>
    <row r="35" spans="1:4" x14ac:dyDescent="0.25">
      <c r="A35" s="8" t="s">
        <v>920</v>
      </c>
      <c r="B35" s="22">
        <v>241.69200000000001</v>
      </c>
      <c r="C35" s="22">
        <v>-76.788000000000011</v>
      </c>
      <c r="D35" s="9">
        <v>-0.31771014348840676</v>
      </c>
    </row>
    <row r="36" spans="1:4" x14ac:dyDescent="0.25">
      <c r="A36" s="8" t="s">
        <v>82</v>
      </c>
      <c r="B36" s="22">
        <v>218.77350000000001</v>
      </c>
      <c r="C36" s="22">
        <v>-0.10649999999999693</v>
      </c>
      <c r="D36" s="9">
        <v>-4.8680484610794691E-4</v>
      </c>
    </row>
    <row r="37" spans="1:4" x14ac:dyDescent="0.25">
      <c r="A37" s="7" t="s">
        <v>915</v>
      </c>
      <c r="B37" s="22">
        <v>258.26850000000002</v>
      </c>
      <c r="C37" s="22">
        <v>-68.461500000000001</v>
      </c>
      <c r="D37" s="9">
        <v>-0.265078784288444</v>
      </c>
    </row>
    <row r="38" spans="1:4" x14ac:dyDescent="0.25">
      <c r="A38" s="8" t="s">
        <v>917</v>
      </c>
      <c r="B38" s="22">
        <v>52.377000000000002</v>
      </c>
      <c r="C38" s="22">
        <v>19.677</v>
      </c>
      <c r="D38" s="9">
        <v>0.37568016495790135</v>
      </c>
    </row>
    <row r="39" spans="1:4" x14ac:dyDescent="0.25">
      <c r="A39" s="8" t="s">
        <v>914</v>
      </c>
      <c r="B39" s="22">
        <v>205.89150000000001</v>
      </c>
      <c r="C39" s="22">
        <v>-88.138500000000008</v>
      </c>
      <c r="D39" s="9">
        <v>-0.42808226663072541</v>
      </c>
    </row>
    <row r="40" spans="1:4" x14ac:dyDescent="0.25">
      <c r="A40" s="7" t="s">
        <v>913</v>
      </c>
      <c r="B40" s="22">
        <v>1825.7639999999997</v>
      </c>
      <c r="C40" s="22">
        <v>-146.31600000000012</v>
      </c>
      <c r="D40" s="9">
        <v>-8.0139601832438442E-2</v>
      </c>
    </row>
    <row r="41" spans="1:4" x14ac:dyDescent="0.25">
      <c r="A41" s="8" t="s">
        <v>912</v>
      </c>
      <c r="B41" s="22">
        <v>1825.7639999999997</v>
      </c>
      <c r="C41" s="22">
        <v>-146.31600000000012</v>
      </c>
      <c r="D41" s="9">
        <v>-8.0139601832438442E-2</v>
      </c>
    </row>
    <row r="42" spans="1:4" x14ac:dyDescent="0.25">
      <c r="A42" s="7" t="s">
        <v>902</v>
      </c>
      <c r="B42" s="22">
        <v>33424.054499999998</v>
      </c>
      <c r="C42" s="22">
        <v>-5080.7054999999946</v>
      </c>
      <c r="D42" s="9">
        <v>-0.1520074561869805</v>
      </c>
    </row>
    <row r="43" spans="1:4" x14ac:dyDescent="0.25">
      <c r="A43" s="8" t="s">
        <v>901</v>
      </c>
      <c r="B43" s="22">
        <v>2028.4290000000001</v>
      </c>
      <c r="C43" s="22">
        <v>-541.28100000000006</v>
      </c>
      <c r="D43" s="9">
        <v>-0.26684739766587839</v>
      </c>
    </row>
    <row r="44" spans="1:4" x14ac:dyDescent="0.25">
      <c r="A44" s="8" t="s">
        <v>909</v>
      </c>
      <c r="B44" s="22">
        <v>1463.3039999999999</v>
      </c>
      <c r="C44" s="22">
        <v>-432.81599999999986</v>
      </c>
      <c r="D44" s="9">
        <v>-0.29577996096504888</v>
      </c>
    </row>
    <row r="45" spans="1:4" x14ac:dyDescent="0.25">
      <c r="A45" s="8" t="s">
        <v>905</v>
      </c>
      <c r="B45" s="22">
        <v>944.55150000000015</v>
      </c>
      <c r="C45" s="22">
        <v>48.931500000000028</v>
      </c>
      <c r="D45" s="9">
        <v>5.1803951399156133E-2</v>
      </c>
    </row>
    <row r="46" spans="1:4" x14ac:dyDescent="0.25">
      <c r="A46" s="8" t="s">
        <v>906</v>
      </c>
      <c r="B46" s="22">
        <v>24390.326999999997</v>
      </c>
      <c r="C46" s="22">
        <v>-4034.3429999999953</v>
      </c>
      <c r="D46" s="9">
        <v>-0.16540749945664918</v>
      </c>
    </row>
    <row r="47" spans="1:4" x14ac:dyDescent="0.25">
      <c r="A47" s="8" t="s">
        <v>921</v>
      </c>
      <c r="B47" s="22">
        <v>3623.1854999999996</v>
      </c>
      <c r="C47" s="22">
        <v>22.79549999999994</v>
      </c>
      <c r="D47" s="9">
        <v>6.291563045833547E-3</v>
      </c>
    </row>
    <row r="48" spans="1:4" x14ac:dyDescent="0.25">
      <c r="A48" s="8" t="s">
        <v>907</v>
      </c>
      <c r="B48" s="22">
        <v>654.55349999999999</v>
      </c>
      <c r="C48" s="22">
        <v>-84.766499999999979</v>
      </c>
      <c r="D48" s="9">
        <v>-0.12950278319495653</v>
      </c>
    </row>
    <row r="49" spans="1:4" x14ac:dyDescent="0.25">
      <c r="A49" s="8" t="s">
        <v>910</v>
      </c>
      <c r="B49" s="22">
        <v>319.70400000000001</v>
      </c>
      <c r="C49" s="22">
        <v>-59.225999999999985</v>
      </c>
      <c r="D49" s="9">
        <v>-0.18525260866301324</v>
      </c>
    </row>
    <row r="50" spans="1:4" x14ac:dyDescent="0.25">
      <c r="A50" s="7" t="s">
        <v>919</v>
      </c>
      <c r="B50" s="22">
        <v>32.735999999999997</v>
      </c>
      <c r="C50" s="22">
        <v>-9.0239999999999974</v>
      </c>
      <c r="D50" s="9">
        <v>-0.27565982404692074</v>
      </c>
    </row>
    <row r="51" spans="1:4" x14ac:dyDescent="0.25">
      <c r="A51" s="8" t="s">
        <v>220</v>
      </c>
      <c r="B51" s="22">
        <v>32.735999999999997</v>
      </c>
      <c r="C51" s="22">
        <v>-9.0239999999999974</v>
      </c>
      <c r="D51" s="9">
        <v>-0.27565982404692074</v>
      </c>
    </row>
    <row r="52" spans="1:4" x14ac:dyDescent="0.25">
      <c r="A52" s="7" t="s">
        <v>923</v>
      </c>
      <c r="B52" s="22">
        <v>688.61250000000007</v>
      </c>
      <c r="C52" s="22">
        <v>-312.99750000000006</v>
      </c>
      <c r="D52" s="9">
        <v>-0.45453357294559715</v>
      </c>
    </row>
    <row r="53" spans="1:4" x14ac:dyDescent="0.25">
      <c r="A53" s="8" t="s">
        <v>922</v>
      </c>
      <c r="B53" s="22">
        <v>688.61250000000007</v>
      </c>
      <c r="C53" s="22">
        <v>-312.99750000000006</v>
      </c>
      <c r="D53" s="9">
        <v>-0.45453357294559715</v>
      </c>
    </row>
    <row r="54" spans="1:4" x14ac:dyDescent="0.25">
      <c r="A54" s="12" t="s">
        <v>31</v>
      </c>
      <c r="B54" s="19">
        <v>67912.727999999988</v>
      </c>
      <c r="C54" s="19">
        <v>-5957.8920000000007</v>
      </c>
      <c r="D54" s="16">
        <v>-8.7728650806075725E-2</v>
      </c>
    </row>
    <row r="55" spans="1:4" x14ac:dyDescent="0.25">
      <c r="A55" s="7" t="s">
        <v>911</v>
      </c>
      <c r="B55">
        <v>5705.2709999999997</v>
      </c>
      <c r="C55">
        <v>-832.08900000000017</v>
      </c>
      <c r="D55" s="9">
        <v>-0.14584565746307235</v>
      </c>
    </row>
    <row r="56" spans="1:4" x14ac:dyDescent="0.25">
      <c r="A56" s="8" t="s">
        <v>916</v>
      </c>
      <c r="B56">
        <v>3290.1974999999998</v>
      </c>
      <c r="C56">
        <v>-345.74250000000012</v>
      </c>
      <c r="D56" s="9">
        <v>-0.10508259762521859</v>
      </c>
    </row>
    <row r="57" spans="1:4" x14ac:dyDescent="0.25">
      <c r="A57" s="8" t="s">
        <v>918</v>
      </c>
      <c r="B57">
        <v>1445.7239999999999</v>
      </c>
      <c r="C57">
        <v>40.463999999999984</v>
      </c>
      <c r="D57" s="9">
        <v>2.7988744739659843E-2</v>
      </c>
    </row>
    <row r="58" spans="1:4" x14ac:dyDescent="0.25">
      <c r="A58" s="8" t="s">
        <v>924</v>
      </c>
      <c r="B58">
        <v>138.40199999999999</v>
      </c>
      <c r="C58">
        <v>-100.72799999999999</v>
      </c>
      <c r="D58" s="9">
        <v>-0.72779295096891672</v>
      </c>
    </row>
    <row r="59" spans="1:4" x14ac:dyDescent="0.25">
      <c r="A59" s="8" t="s">
        <v>920</v>
      </c>
      <c r="B59">
        <v>830.94749999999999</v>
      </c>
      <c r="C59">
        <v>-426.08249999999998</v>
      </c>
      <c r="D59" s="9">
        <v>-0.51276705207007667</v>
      </c>
    </row>
    <row r="60" spans="1:4" x14ac:dyDescent="0.25">
      <c r="A60" s="7" t="s">
        <v>915</v>
      </c>
      <c r="B60">
        <v>3445.8164999999999</v>
      </c>
      <c r="C60">
        <v>190.69650000000041</v>
      </c>
      <c r="D60" s="9">
        <v>5.5341455356081912E-2</v>
      </c>
    </row>
    <row r="61" spans="1:4" x14ac:dyDescent="0.25">
      <c r="A61" s="8" t="s">
        <v>914</v>
      </c>
      <c r="B61">
        <v>3445.8164999999999</v>
      </c>
      <c r="C61">
        <v>190.69650000000041</v>
      </c>
      <c r="D61" s="9">
        <v>5.5341455356081912E-2</v>
      </c>
    </row>
    <row r="62" spans="1:4" x14ac:dyDescent="0.25">
      <c r="A62" s="7" t="s">
        <v>913</v>
      </c>
      <c r="B62">
        <v>361.84649999999999</v>
      </c>
      <c r="C62">
        <v>-179.68349999999998</v>
      </c>
      <c r="D62" s="9">
        <v>-0.49657382343065354</v>
      </c>
    </row>
    <row r="63" spans="1:4" x14ac:dyDescent="0.25">
      <c r="A63" s="8" t="s">
        <v>912</v>
      </c>
      <c r="B63">
        <v>361.84649999999999</v>
      </c>
      <c r="C63">
        <v>-179.68349999999998</v>
      </c>
      <c r="D63" s="9">
        <v>-0.49657382343065354</v>
      </c>
    </row>
    <row r="64" spans="1:4" x14ac:dyDescent="0.25">
      <c r="A64" s="7" t="s">
        <v>902</v>
      </c>
      <c r="B64">
        <v>56277.268499999991</v>
      </c>
      <c r="C64">
        <v>-5077.531500000001</v>
      </c>
      <c r="D64" s="9">
        <v>-9.0223488725292331E-2</v>
      </c>
    </row>
    <row r="65" spans="1:4" x14ac:dyDescent="0.25">
      <c r="A65" s="8" t="s">
        <v>901</v>
      </c>
      <c r="B65">
        <v>3446.9639999999999</v>
      </c>
      <c r="C65">
        <v>-672.87600000000009</v>
      </c>
      <c r="D65" s="9">
        <v>-0.19520830504757233</v>
      </c>
    </row>
    <row r="66" spans="1:4" x14ac:dyDescent="0.25">
      <c r="A66" s="8" t="s">
        <v>909</v>
      </c>
      <c r="B66">
        <v>3294.741</v>
      </c>
      <c r="C66">
        <v>591.17099999999994</v>
      </c>
      <c r="D66" s="9">
        <v>0.17942867132803456</v>
      </c>
    </row>
    <row r="67" spans="1:4" x14ac:dyDescent="0.25">
      <c r="A67" s="8" t="s">
        <v>905</v>
      </c>
      <c r="B67">
        <v>540.79499999999996</v>
      </c>
      <c r="C67">
        <v>-151.24499999999998</v>
      </c>
      <c r="D67" s="9">
        <v>-0.27967159459684349</v>
      </c>
    </row>
    <row r="68" spans="1:4" x14ac:dyDescent="0.25">
      <c r="A68" s="8" t="s">
        <v>906</v>
      </c>
      <c r="B68">
        <v>46723.453499999989</v>
      </c>
      <c r="C68">
        <v>-5033.1765000000014</v>
      </c>
      <c r="D68" s="9">
        <v>-0.10772269862286619</v>
      </c>
    </row>
    <row r="69" spans="1:4" x14ac:dyDescent="0.25">
      <c r="A69" s="8" t="s">
        <v>921</v>
      </c>
      <c r="B69">
        <v>61.57800000000001</v>
      </c>
      <c r="C69">
        <v>-19.152000000000005</v>
      </c>
      <c r="D69" s="9">
        <v>-0.31102016954106987</v>
      </c>
    </row>
    <row r="70" spans="1:4" x14ac:dyDescent="0.25">
      <c r="A70" s="8" t="s">
        <v>907</v>
      </c>
      <c r="B70">
        <v>414.10200000000003</v>
      </c>
      <c r="C70">
        <v>-31.877999999999986</v>
      </c>
      <c r="D70" s="9">
        <v>-7.6981033658373985E-2</v>
      </c>
    </row>
    <row r="71" spans="1:4" x14ac:dyDescent="0.25">
      <c r="A71" s="8" t="s">
        <v>910</v>
      </c>
      <c r="B71">
        <v>1795.6350000000002</v>
      </c>
      <c r="C71">
        <v>239.62499999999994</v>
      </c>
      <c r="D71" s="9">
        <v>0.1334486128862491</v>
      </c>
    </row>
    <row r="72" spans="1:4" x14ac:dyDescent="0.25">
      <c r="A72" s="7" t="s">
        <v>919</v>
      </c>
      <c r="B72">
        <v>1276.1385</v>
      </c>
      <c r="C72">
        <v>12.028500000000079</v>
      </c>
      <c r="D72" s="9">
        <v>9.425701050473816E-3</v>
      </c>
    </row>
    <row r="73" spans="1:4" x14ac:dyDescent="0.25">
      <c r="A73" s="8" t="s">
        <v>220</v>
      </c>
      <c r="B73">
        <v>1276.1385</v>
      </c>
      <c r="C73">
        <v>12.028500000000079</v>
      </c>
      <c r="D73" s="9">
        <v>9.425701050473816E-3</v>
      </c>
    </row>
    <row r="74" spans="1:4" x14ac:dyDescent="0.25">
      <c r="A74" s="7" t="s">
        <v>923</v>
      </c>
      <c r="B74">
        <v>846.38700000000006</v>
      </c>
      <c r="C74">
        <v>-71.31299999999996</v>
      </c>
      <c r="D74" s="9">
        <v>-8.4255783701781758E-2</v>
      </c>
    </row>
    <row r="75" spans="1:4" x14ac:dyDescent="0.25">
      <c r="A75" s="8" t="s">
        <v>922</v>
      </c>
      <c r="B75">
        <v>846.38700000000006</v>
      </c>
      <c r="C75">
        <v>-71.31299999999996</v>
      </c>
      <c r="D75" s="9">
        <v>-8.4255783701781758E-2</v>
      </c>
    </row>
    <row r="76" spans="1:4" x14ac:dyDescent="0.25">
      <c r="A76" s="6" t="s">
        <v>3291</v>
      </c>
      <c r="B76" s="20">
        <v>183420.16500000001</v>
      </c>
      <c r="C76" s="20">
        <v>-16128.224999999997</v>
      </c>
      <c r="D76" s="9">
        <v>-8.793049008542772E-2</v>
      </c>
    </row>
  </sheetData>
  <conditionalFormatting sqref="A3">
    <cfRule type="top10" priority="1" percent="1" rank="1"/>
  </conditionalFormatting>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682"/>
  <sheetViews>
    <sheetView topLeftCell="Q1" zoomScale="101" workbookViewId="0">
      <selection activeCell="Z6" sqref="Z6"/>
    </sheetView>
  </sheetViews>
  <sheetFormatPr defaultColWidth="10.875" defaultRowHeight="15.75" x14ac:dyDescent="0.25"/>
  <cols>
    <col min="3" max="3" width="12.5" customWidth="1"/>
    <col min="4" max="4" width="11" customWidth="1"/>
    <col min="5" max="5" width="11.875" customWidth="1"/>
    <col min="6" max="6" width="13.5" customWidth="1"/>
    <col min="7" max="7" width="16.875" customWidth="1"/>
    <col min="12" max="12" width="12.875" customWidth="1"/>
    <col min="15" max="15" width="11.75" customWidth="1"/>
    <col min="17" max="17" width="14.25" customWidth="1"/>
    <col min="18" max="18" width="15.125" customWidth="1"/>
    <col min="23" max="23" width="14.25" customWidth="1"/>
    <col min="24" max="24" width="14.875" customWidth="1"/>
  </cols>
  <sheetData>
    <row r="1" spans="1:24" x14ac:dyDescent="0.25">
      <c r="A1" t="s">
        <v>0</v>
      </c>
      <c r="B1" t="s">
        <v>1</v>
      </c>
      <c r="C1" t="s">
        <v>2</v>
      </c>
      <c r="D1" t="s">
        <v>3</v>
      </c>
      <c r="E1" t="s">
        <v>4</v>
      </c>
      <c r="F1" t="s">
        <v>5</v>
      </c>
      <c r="G1" t="s">
        <v>6</v>
      </c>
      <c r="H1" t="s">
        <v>3289</v>
      </c>
      <c r="I1" t="s">
        <v>7</v>
      </c>
      <c r="J1" t="s">
        <v>8</v>
      </c>
      <c r="K1" t="s">
        <v>9</v>
      </c>
      <c r="L1" t="s">
        <v>926</v>
      </c>
      <c r="M1" t="s">
        <v>928</v>
      </c>
      <c r="N1" t="s">
        <v>10</v>
      </c>
      <c r="O1" t="s">
        <v>11</v>
      </c>
      <c r="P1" t="s">
        <v>12</v>
      </c>
      <c r="Q1" t="s">
        <v>13</v>
      </c>
      <c r="R1" t="s">
        <v>14</v>
      </c>
      <c r="S1" t="s">
        <v>15</v>
      </c>
      <c r="T1" t="s">
        <v>16</v>
      </c>
      <c r="U1" t="s">
        <v>17</v>
      </c>
      <c r="V1" t="s">
        <v>18</v>
      </c>
      <c r="W1" t="s">
        <v>929</v>
      </c>
      <c r="X1" t="s">
        <v>930</v>
      </c>
    </row>
    <row r="2" spans="1:24" x14ac:dyDescent="0.25">
      <c r="A2">
        <v>26410</v>
      </c>
      <c r="B2" t="s">
        <v>2199</v>
      </c>
      <c r="C2" s="1">
        <v>42019</v>
      </c>
      <c r="D2" s="1">
        <v>42025</v>
      </c>
      <c r="E2" t="s">
        <v>19</v>
      </c>
      <c r="F2" t="s">
        <v>1260</v>
      </c>
      <c r="G2" t="s">
        <v>421</v>
      </c>
      <c r="H2" t="s">
        <v>37</v>
      </c>
      <c r="I2" t="s">
        <v>906</v>
      </c>
      <c r="J2" t="s">
        <v>902</v>
      </c>
      <c r="K2" t="s">
        <v>903</v>
      </c>
      <c r="M2" t="s">
        <v>2991</v>
      </c>
      <c r="N2" t="s">
        <v>946</v>
      </c>
      <c r="O2" t="s">
        <v>2459</v>
      </c>
      <c r="P2" t="s">
        <v>22</v>
      </c>
      <c r="Q2" t="s">
        <v>50</v>
      </c>
      <c r="R2" t="s">
        <v>809</v>
      </c>
      <c r="S2">
        <v>3386.8589999999999</v>
      </c>
      <c r="T2">
        <v>7</v>
      </c>
      <c r="U2">
        <v>0.15000000000000002</v>
      </c>
      <c r="V2">
        <v>-597.68100000000004</v>
      </c>
      <c r="W2" s="3">
        <v>257.24</v>
      </c>
      <c r="X2" t="s">
        <v>934</v>
      </c>
    </row>
    <row r="3" spans="1:24" x14ac:dyDescent="0.25">
      <c r="A3">
        <v>24672</v>
      </c>
      <c r="B3" t="s">
        <v>2091</v>
      </c>
      <c r="C3" s="1">
        <v>42433</v>
      </c>
      <c r="D3" s="1">
        <v>42438</v>
      </c>
      <c r="E3" t="s">
        <v>43</v>
      </c>
      <c r="F3" t="s">
        <v>1028</v>
      </c>
      <c r="G3" t="s">
        <v>754</v>
      </c>
      <c r="H3" t="s">
        <v>37</v>
      </c>
      <c r="I3" t="s">
        <v>914</v>
      </c>
      <c r="J3" t="s">
        <v>915</v>
      </c>
      <c r="K3" t="s">
        <v>903</v>
      </c>
      <c r="M3" t="s">
        <v>2991</v>
      </c>
      <c r="N3" t="s">
        <v>946</v>
      </c>
      <c r="O3" t="s">
        <v>2547</v>
      </c>
      <c r="P3" t="s">
        <v>31</v>
      </c>
      <c r="Q3" t="s">
        <v>943</v>
      </c>
      <c r="R3" t="s">
        <v>667</v>
      </c>
      <c r="S3">
        <v>2951.442</v>
      </c>
      <c r="T3">
        <v>12</v>
      </c>
      <c r="U3">
        <v>0.35</v>
      </c>
      <c r="V3">
        <v>226.96200000000044</v>
      </c>
      <c r="W3" s="3">
        <v>28.78</v>
      </c>
      <c r="X3" t="s">
        <v>933</v>
      </c>
    </row>
    <row r="4" spans="1:24" x14ac:dyDescent="0.25">
      <c r="A4">
        <v>25271</v>
      </c>
      <c r="B4" t="s">
        <v>2125</v>
      </c>
      <c r="C4" s="1">
        <v>42636</v>
      </c>
      <c r="D4" s="1">
        <v>42642</v>
      </c>
      <c r="E4" t="s">
        <v>19</v>
      </c>
      <c r="F4" t="s">
        <v>1109</v>
      </c>
      <c r="G4" t="s">
        <v>701</v>
      </c>
      <c r="H4" t="s">
        <v>37</v>
      </c>
      <c r="I4" t="s">
        <v>921</v>
      </c>
      <c r="J4" t="s">
        <v>902</v>
      </c>
      <c r="K4" t="s">
        <v>903</v>
      </c>
      <c r="M4" t="s">
        <v>2991</v>
      </c>
      <c r="N4" t="s">
        <v>946</v>
      </c>
      <c r="O4" t="s">
        <v>2605</v>
      </c>
      <c r="P4" t="s">
        <v>27</v>
      </c>
      <c r="Q4" t="s">
        <v>939</v>
      </c>
      <c r="R4" t="s">
        <v>722</v>
      </c>
      <c r="S4">
        <v>2841.6599999999994</v>
      </c>
      <c r="T4">
        <v>8</v>
      </c>
      <c r="U4">
        <v>0.25</v>
      </c>
      <c r="V4">
        <v>189.42000000000007</v>
      </c>
      <c r="W4" s="3">
        <v>242.38</v>
      </c>
      <c r="X4" t="s">
        <v>933</v>
      </c>
    </row>
    <row r="5" spans="1:24" x14ac:dyDescent="0.25">
      <c r="A5">
        <v>27243</v>
      </c>
      <c r="B5" t="s">
        <v>2258</v>
      </c>
      <c r="C5" s="1">
        <v>42616</v>
      </c>
      <c r="D5" s="1">
        <v>42619</v>
      </c>
      <c r="E5" t="s">
        <v>43</v>
      </c>
      <c r="F5" t="s">
        <v>1414</v>
      </c>
      <c r="G5" t="s">
        <v>96</v>
      </c>
      <c r="H5" t="s">
        <v>37</v>
      </c>
      <c r="I5" t="s">
        <v>906</v>
      </c>
      <c r="J5" t="s">
        <v>902</v>
      </c>
      <c r="K5" t="s">
        <v>903</v>
      </c>
      <c r="M5" t="s">
        <v>2991</v>
      </c>
      <c r="N5" t="s">
        <v>946</v>
      </c>
      <c r="O5" t="s">
        <v>2691</v>
      </c>
      <c r="P5" t="s">
        <v>27</v>
      </c>
      <c r="Q5" t="s">
        <v>939</v>
      </c>
      <c r="R5" t="s">
        <v>243</v>
      </c>
      <c r="S5">
        <v>2804.58</v>
      </c>
      <c r="T5">
        <v>8</v>
      </c>
      <c r="U5">
        <v>0.25</v>
      </c>
      <c r="V5">
        <v>822.66000000000008</v>
      </c>
      <c r="W5" s="3">
        <v>171.36</v>
      </c>
      <c r="X5" t="s">
        <v>933</v>
      </c>
    </row>
    <row r="6" spans="1:24" x14ac:dyDescent="0.25">
      <c r="A6">
        <v>26731</v>
      </c>
      <c r="B6" t="s">
        <v>2217</v>
      </c>
      <c r="C6" s="1">
        <v>42032</v>
      </c>
      <c r="D6" s="1">
        <v>42034</v>
      </c>
      <c r="E6" t="s">
        <v>47</v>
      </c>
      <c r="F6" t="s">
        <v>1073</v>
      </c>
      <c r="G6" t="s">
        <v>444</v>
      </c>
      <c r="H6" t="s">
        <v>39</v>
      </c>
      <c r="I6" t="s">
        <v>906</v>
      </c>
      <c r="J6" t="s">
        <v>902</v>
      </c>
      <c r="K6" t="s">
        <v>903</v>
      </c>
      <c r="M6" t="s">
        <v>2991</v>
      </c>
      <c r="N6" t="s">
        <v>946</v>
      </c>
      <c r="O6" t="s">
        <v>2746</v>
      </c>
      <c r="P6" t="s">
        <v>27</v>
      </c>
      <c r="Q6" t="s">
        <v>939</v>
      </c>
      <c r="R6" t="s">
        <v>495</v>
      </c>
      <c r="S6">
        <v>2465.8199999999997</v>
      </c>
      <c r="T6">
        <v>7</v>
      </c>
      <c r="U6">
        <v>0.25</v>
      </c>
      <c r="V6">
        <v>197.19000000000005</v>
      </c>
      <c r="W6" s="3">
        <v>546.49</v>
      </c>
      <c r="X6" t="s">
        <v>931</v>
      </c>
    </row>
    <row r="7" spans="1:24" x14ac:dyDescent="0.25">
      <c r="A7">
        <v>22328</v>
      </c>
      <c r="B7" t="s">
        <v>1951</v>
      </c>
      <c r="C7" s="1">
        <v>41888</v>
      </c>
      <c r="D7" s="1">
        <v>41893</v>
      </c>
      <c r="E7" t="s">
        <v>19</v>
      </c>
      <c r="F7" t="s">
        <v>1016</v>
      </c>
      <c r="G7" t="s">
        <v>598</v>
      </c>
      <c r="H7" t="s">
        <v>20</v>
      </c>
      <c r="I7" t="s">
        <v>906</v>
      </c>
      <c r="J7" t="s">
        <v>902</v>
      </c>
      <c r="K7" t="s">
        <v>903</v>
      </c>
      <c r="M7" t="s">
        <v>2991</v>
      </c>
      <c r="N7" t="s">
        <v>946</v>
      </c>
      <c r="O7" t="s">
        <v>2677</v>
      </c>
      <c r="P7" t="s">
        <v>31</v>
      </c>
      <c r="Q7" t="s">
        <v>944</v>
      </c>
      <c r="R7" t="s">
        <v>232</v>
      </c>
      <c r="S7">
        <v>2447.5500000000002</v>
      </c>
      <c r="T7">
        <v>5</v>
      </c>
      <c r="U7">
        <v>0.25</v>
      </c>
      <c r="V7">
        <v>228.29999999999973</v>
      </c>
      <c r="W7" s="3">
        <v>88.29</v>
      </c>
      <c r="X7" t="s">
        <v>933</v>
      </c>
    </row>
    <row r="8" spans="1:24" x14ac:dyDescent="0.25">
      <c r="A8">
        <v>29827</v>
      </c>
      <c r="B8" t="s">
        <v>2398</v>
      </c>
      <c r="C8" s="1">
        <v>42684</v>
      </c>
      <c r="D8" s="1">
        <v>42689</v>
      </c>
      <c r="E8" t="s">
        <v>19</v>
      </c>
      <c r="F8" t="s">
        <v>1235</v>
      </c>
      <c r="G8" t="s">
        <v>425</v>
      </c>
      <c r="H8" t="s">
        <v>20</v>
      </c>
      <c r="I8" t="s">
        <v>906</v>
      </c>
      <c r="J8" t="s">
        <v>902</v>
      </c>
      <c r="K8" t="s">
        <v>903</v>
      </c>
      <c r="M8" t="s">
        <v>2991</v>
      </c>
      <c r="N8" t="s">
        <v>946</v>
      </c>
      <c r="O8" t="s">
        <v>2990</v>
      </c>
      <c r="P8" t="s">
        <v>22</v>
      </c>
      <c r="Q8" t="s">
        <v>50</v>
      </c>
      <c r="R8" t="s">
        <v>792</v>
      </c>
      <c r="S8">
        <v>2408.0924999999997</v>
      </c>
      <c r="T8">
        <v>5</v>
      </c>
      <c r="U8">
        <v>0.15000000000000002</v>
      </c>
      <c r="V8">
        <v>339.89249999999993</v>
      </c>
      <c r="W8" s="3">
        <v>112.77</v>
      </c>
      <c r="X8" t="s">
        <v>933</v>
      </c>
    </row>
    <row r="9" spans="1:24" x14ac:dyDescent="0.25">
      <c r="A9">
        <v>21401</v>
      </c>
      <c r="B9" t="s">
        <v>1897</v>
      </c>
      <c r="C9" s="1">
        <v>42728</v>
      </c>
      <c r="D9" s="1">
        <v>42732</v>
      </c>
      <c r="E9" t="s">
        <v>19</v>
      </c>
      <c r="F9" t="s">
        <v>1208</v>
      </c>
      <c r="G9" t="s">
        <v>504</v>
      </c>
      <c r="H9" t="s">
        <v>20</v>
      </c>
      <c r="I9" t="s">
        <v>909</v>
      </c>
      <c r="J9" t="s">
        <v>902</v>
      </c>
      <c r="K9" t="s">
        <v>903</v>
      </c>
      <c r="M9" t="s">
        <v>2991</v>
      </c>
      <c r="N9" t="s">
        <v>946</v>
      </c>
      <c r="O9" t="s">
        <v>2711</v>
      </c>
      <c r="P9" t="s">
        <v>31</v>
      </c>
      <c r="Q9" t="s">
        <v>944</v>
      </c>
      <c r="R9" t="s">
        <v>483</v>
      </c>
      <c r="S9">
        <v>2386.125</v>
      </c>
      <c r="T9">
        <v>5</v>
      </c>
      <c r="U9">
        <v>0.25</v>
      </c>
      <c r="V9">
        <v>381.67499999999995</v>
      </c>
      <c r="W9" s="3">
        <v>161.91999999999999</v>
      </c>
      <c r="X9" t="s">
        <v>933</v>
      </c>
    </row>
    <row r="10" spans="1:24" x14ac:dyDescent="0.25">
      <c r="A10">
        <v>29277</v>
      </c>
      <c r="B10" t="s">
        <v>2370</v>
      </c>
      <c r="C10" s="1">
        <v>42621</v>
      </c>
      <c r="D10" s="1">
        <v>42624</v>
      </c>
      <c r="E10" t="s">
        <v>47</v>
      </c>
      <c r="F10" t="s">
        <v>963</v>
      </c>
      <c r="G10" t="s">
        <v>163</v>
      </c>
      <c r="H10" t="s">
        <v>20</v>
      </c>
      <c r="I10" t="s">
        <v>906</v>
      </c>
      <c r="J10" t="s">
        <v>902</v>
      </c>
      <c r="K10" t="s">
        <v>903</v>
      </c>
      <c r="M10" t="s">
        <v>2991</v>
      </c>
      <c r="N10" t="s">
        <v>946</v>
      </c>
      <c r="O10" t="s">
        <v>2888</v>
      </c>
      <c r="P10" t="s">
        <v>27</v>
      </c>
      <c r="Q10" t="s">
        <v>29</v>
      </c>
      <c r="R10" t="s">
        <v>751</v>
      </c>
      <c r="S10">
        <v>2152.9560000000001</v>
      </c>
      <c r="T10">
        <v>8</v>
      </c>
      <c r="U10">
        <v>0.35</v>
      </c>
      <c r="V10">
        <v>198.63600000000019</v>
      </c>
      <c r="W10" s="3">
        <v>309.11</v>
      </c>
      <c r="X10" t="s">
        <v>933</v>
      </c>
    </row>
    <row r="11" spans="1:24" x14ac:dyDescent="0.25">
      <c r="A11">
        <v>29721</v>
      </c>
      <c r="B11" t="s">
        <v>2392</v>
      </c>
      <c r="C11" s="1">
        <v>41603</v>
      </c>
      <c r="D11" s="1">
        <v>41608</v>
      </c>
      <c r="E11" t="s">
        <v>19</v>
      </c>
      <c r="F11" t="s">
        <v>1000</v>
      </c>
      <c r="G11" t="s">
        <v>144</v>
      </c>
      <c r="H11" t="s">
        <v>39</v>
      </c>
      <c r="I11" t="s">
        <v>916</v>
      </c>
      <c r="J11" t="s">
        <v>911</v>
      </c>
      <c r="K11" t="s">
        <v>903</v>
      </c>
      <c r="M11" t="s">
        <v>2991</v>
      </c>
      <c r="N11" t="s">
        <v>946</v>
      </c>
      <c r="O11" t="s">
        <v>2886</v>
      </c>
      <c r="P11" t="s">
        <v>22</v>
      </c>
      <c r="Q11" t="s">
        <v>50</v>
      </c>
      <c r="R11" t="s">
        <v>811</v>
      </c>
      <c r="S11">
        <v>2123.1299999999997</v>
      </c>
      <c r="T11">
        <v>5</v>
      </c>
      <c r="U11">
        <v>0.15000000000000002</v>
      </c>
      <c r="V11">
        <v>-174.86999999999995</v>
      </c>
      <c r="W11" s="3">
        <v>138.93</v>
      </c>
      <c r="X11" t="s">
        <v>931</v>
      </c>
    </row>
    <row r="12" spans="1:24" x14ac:dyDescent="0.25">
      <c r="A12">
        <v>23066</v>
      </c>
      <c r="B12" t="s">
        <v>2001</v>
      </c>
      <c r="C12" s="1">
        <v>42223</v>
      </c>
      <c r="D12" s="1">
        <v>42225</v>
      </c>
      <c r="E12" t="s">
        <v>47</v>
      </c>
      <c r="F12" t="s">
        <v>1362</v>
      </c>
      <c r="G12" t="s">
        <v>617</v>
      </c>
      <c r="H12" t="s">
        <v>20</v>
      </c>
      <c r="I12" t="s">
        <v>906</v>
      </c>
      <c r="J12" t="s">
        <v>902</v>
      </c>
      <c r="K12" t="s">
        <v>903</v>
      </c>
      <c r="M12" t="s">
        <v>2991</v>
      </c>
      <c r="N12" t="s">
        <v>946</v>
      </c>
      <c r="O12" t="s">
        <v>2889</v>
      </c>
      <c r="P12" t="s">
        <v>31</v>
      </c>
      <c r="Q12" t="s">
        <v>944</v>
      </c>
      <c r="R12" t="s">
        <v>692</v>
      </c>
      <c r="S12">
        <v>1954.44</v>
      </c>
      <c r="T12">
        <v>4</v>
      </c>
      <c r="U12">
        <v>0.25</v>
      </c>
      <c r="V12">
        <v>-286.68000000000006</v>
      </c>
      <c r="W12" s="3">
        <v>175.45</v>
      </c>
      <c r="X12" t="s">
        <v>931</v>
      </c>
    </row>
    <row r="13" spans="1:24" x14ac:dyDescent="0.25">
      <c r="A13">
        <v>22017</v>
      </c>
      <c r="B13" t="s">
        <v>1931</v>
      </c>
      <c r="C13" s="1">
        <v>42295</v>
      </c>
      <c r="D13" s="1">
        <v>42300</v>
      </c>
      <c r="E13" t="s">
        <v>43</v>
      </c>
      <c r="F13" t="s">
        <v>1055</v>
      </c>
      <c r="G13" t="s">
        <v>133</v>
      </c>
      <c r="H13" t="s">
        <v>20</v>
      </c>
      <c r="I13" t="s">
        <v>916</v>
      </c>
      <c r="J13" t="s">
        <v>911</v>
      </c>
      <c r="K13" t="s">
        <v>903</v>
      </c>
      <c r="M13" t="s">
        <v>2991</v>
      </c>
      <c r="N13" t="s">
        <v>946</v>
      </c>
      <c r="O13" t="s">
        <v>2686</v>
      </c>
      <c r="P13" t="s">
        <v>31</v>
      </c>
      <c r="Q13" t="s">
        <v>944</v>
      </c>
      <c r="R13" t="s">
        <v>360</v>
      </c>
      <c r="S13">
        <v>1912.3200000000002</v>
      </c>
      <c r="T13">
        <v>4</v>
      </c>
      <c r="U13">
        <v>0.25</v>
      </c>
      <c r="V13">
        <v>-204.00000000000011</v>
      </c>
      <c r="W13" s="3">
        <v>76.63</v>
      </c>
      <c r="X13" t="s">
        <v>933</v>
      </c>
    </row>
    <row r="14" spans="1:24" x14ac:dyDescent="0.25">
      <c r="A14">
        <v>25872</v>
      </c>
      <c r="B14" t="s">
        <v>2161</v>
      </c>
      <c r="C14" s="1">
        <v>42413</v>
      </c>
      <c r="D14" s="1">
        <v>42414</v>
      </c>
      <c r="E14" t="s">
        <v>47</v>
      </c>
      <c r="F14" t="s">
        <v>1293</v>
      </c>
      <c r="G14" t="s">
        <v>166</v>
      </c>
      <c r="H14" t="s">
        <v>37</v>
      </c>
      <c r="I14" t="s">
        <v>906</v>
      </c>
      <c r="J14" t="s">
        <v>902</v>
      </c>
      <c r="K14" t="s">
        <v>903</v>
      </c>
      <c r="M14" t="s">
        <v>2991</v>
      </c>
      <c r="N14" t="s">
        <v>946</v>
      </c>
      <c r="O14" t="s">
        <v>2934</v>
      </c>
      <c r="P14" t="s">
        <v>27</v>
      </c>
      <c r="Q14" t="s">
        <v>939</v>
      </c>
      <c r="R14" t="s">
        <v>161</v>
      </c>
      <c r="S14">
        <v>1726.6499999999996</v>
      </c>
      <c r="T14">
        <v>5</v>
      </c>
      <c r="U14">
        <v>0.25</v>
      </c>
      <c r="V14">
        <v>414.29999999999995</v>
      </c>
      <c r="W14" s="3">
        <v>87.23</v>
      </c>
      <c r="X14" t="s">
        <v>933</v>
      </c>
    </row>
    <row r="15" spans="1:24" x14ac:dyDescent="0.25">
      <c r="A15">
        <v>27129</v>
      </c>
      <c r="B15" t="s">
        <v>2245</v>
      </c>
      <c r="C15" s="1">
        <v>42687</v>
      </c>
      <c r="D15" s="1">
        <v>42689</v>
      </c>
      <c r="E15" t="s">
        <v>43</v>
      </c>
      <c r="F15" t="s">
        <v>1278</v>
      </c>
      <c r="G15" t="s">
        <v>344</v>
      </c>
      <c r="H15" t="s">
        <v>37</v>
      </c>
      <c r="I15" t="s">
        <v>906</v>
      </c>
      <c r="J15" t="s">
        <v>902</v>
      </c>
      <c r="K15" t="s">
        <v>903</v>
      </c>
      <c r="M15" t="s">
        <v>2991</v>
      </c>
      <c r="N15" t="s">
        <v>946</v>
      </c>
      <c r="O15" t="s">
        <v>2933</v>
      </c>
      <c r="P15" t="s">
        <v>27</v>
      </c>
      <c r="Q15" t="s">
        <v>939</v>
      </c>
      <c r="R15" t="s">
        <v>715</v>
      </c>
      <c r="S15">
        <v>1725.75</v>
      </c>
      <c r="T15">
        <v>5</v>
      </c>
      <c r="U15">
        <v>0.25</v>
      </c>
      <c r="V15">
        <v>-483.2999999999999</v>
      </c>
      <c r="W15" s="3">
        <v>350.68</v>
      </c>
      <c r="X15" t="s">
        <v>932</v>
      </c>
    </row>
    <row r="16" spans="1:24" x14ac:dyDescent="0.25">
      <c r="A16">
        <v>25237</v>
      </c>
      <c r="B16" t="s">
        <v>2123</v>
      </c>
      <c r="C16" s="1">
        <v>41463</v>
      </c>
      <c r="D16" s="1">
        <v>41468</v>
      </c>
      <c r="E16" t="s">
        <v>19</v>
      </c>
      <c r="F16" t="s">
        <v>1068</v>
      </c>
      <c r="G16" t="s">
        <v>307</v>
      </c>
      <c r="H16" t="s">
        <v>37</v>
      </c>
      <c r="I16" t="s">
        <v>906</v>
      </c>
      <c r="J16" t="s">
        <v>902</v>
      </c>
      <c r="K16" t="s">
        <v>903</v>
      </c>
      <c r="M16" t="s">
        <v>2991</v>
      </c>
      <c r="N16" t="s">
        <v>946</v>
      </c>
      <c r="O16" t="s">
        <v>2555</v>
      </c>
      <c r="P16" t="s">
        <v>31</v>
      </c>
      <c r="Q16" t="s">
        <v>938</v>
      </c>
      <c r="R16" t="s">
        <v>56</v>
      </c>
      <c r="S16">
        <v>1630.1250000000005</v>
      </c>
      <c r="T16">
        <v>7</v>
      </c>
      <c r="U16">
        <v>0.25</v>
      </c>
      <c r="V16">
        <v>-282.55500000000012</v>
      </c>
      <c r="W16" s="3">
        <v>147.97999999999999</v>
      </c>
      <c r="X16" t="s">
        <v>933</v>
      </c>
    </row>
    <row r="17" spans="1:24" x14ac:dyDescent="0.25">
      <c r="A17">
        <v>30105</v>
      </c>
      <c r="B17" t="s">
        <v>2421</v>
      </c>
      <c r="C17" s="1">
        <v>42682</v>
      </c>
      <c r="D17" s="1">
        <v>42684</v>
      </c>
      <c r="E17" t="s">
        <v>47</v>
      </c>
      <c r="F17" t="s">
        <v>961</v>
      </c>
      <c r="G17" t="s">
        <v>633</v>
      </c>
      <c r="H17" t="s">
        <v>39</v>
      </c>
      <c r="I17" t="s">
        <v>921</v>
      </c>
      <c r="J17" t="s">
        <v>902</v>
      </c>
      <c r="K17" t="s">
        <v>903</v>
      </c>
      <c r="M17" t="s">
        <v>2991</v>
      </c>
      <c r="N17" t="s">
        <v>946</v>
      </c>
      <c r="O17" t="s">
        <v>2920</v>
      </c>
      <c r="P17" t="s">
        <v>22</v>
      </c>
      <c r="Q17" t="s">
        <v>50</v>
      </c>
      <c r="R17" t="s">
        <v>653</v>
      </c>
      <c r="S17">
        <v>1538.7209999999998</v>
      </c>
      <c r="T17">
        <v>6</v>
      </c>
      <c r="U17">
        <v>0.15000000000000002</v>
      </c>
      <c r="V17">
        <v>325.70100000000002</v>
      </c>
      <c r="W17" s="3">
        <v>403.26</v>
      </c>
      <c r="X17" t="s">
        <v>931</v>
      </c>
    </row>
    <row r="18" spans="1:24" x14ac:dyDescent="0.25">
      <c r="A18">
        <v>28076</v>
      </c>
      <c r="B18" t="s">
        <v>2305</v>
      </c>
      <c r="C18" s="1">
        <v>42256</v>
      </c>
      <c r="D18" s="1">
        <v>42256</v>
      </c>
      <c r="E18" t="s">
        <v>58</v>
      </c>
      <c r="F18" t="s">
        <v>1218</v>
      </c>
      <c r="G18" t="s">
        <v>765</v>
      </c>
      <c r="H18" t="s">
        <v>20</v>
      </c>
      <c r="I18" t="s">
        <v>906</v>
      </c>
      <c r="J18" t="s">
        <v>902</v>
      </c>
      <c r="K18" t="s">
        <v>903</v>
      </c>
      <c r="M18" t="s">
        <v>2991</v>
      </c>
      <c r="N18" t="s">
        <v>946</v>
      </c>
      <c r="O18" t="s">
        <v>2730</v>
      </c>
      <c r="P18" t="s">
        <v>31</v>
      </c>
      <c r="Q18" t="s">
        <v>943</v>
      </c>
      <c r="R18" t="s">
        <v>264</v>
      </c>
      <c r="S18">
        <v>1482.39</v>
      </c>
      <c r="T18">
        <v>6</v>
      </c>
      <c r="U18">
        <v>0.35</v>
      </c>
      <c r="V18">
        <v>68.310000000000059</v>
      </c>
      <c r="W18" s="3">
        <v>290.69</v>
      </c>
      <c r="X18" t="s">
        <v>931</v>
      </c>
    </row>
    <row r="19" spans="1:24" x14ac:dyDescent="0.25">
      <c r="A19">
        <v>22032</v>
      </c>
      <c r="B19" t="s">
        <v>1933</v>
      </c>
      <c r="C19" s="1">
        <v>42478</v>
      </c>
      <c r="D19" s="1">
        <v>42482</v>
      </c>
      <c r="E19" t="s">
        <v>19</v>
      </c>
      <c r="F19" t="s">
        <v>1194</v>
      </c>
      <c r="G19" t="s">
        <v>709</v>
      </c>
      <c r="H19" t="s">
        <v>20</v>
      </c>
      <c r="I19" t="s">
        <v>906</v>
      </c>
      <c r="J19" t="s">
        <v>902</v>
      </c>
      <c r="K19" t="s">
        <v>903</v>
      </c>
      <c r="M19" t="s">
        <v>2991</v>
      </c>
      <c r="N19" t="s">
        <v>946</v>
      </c>
      <c r="O19" t="s">
        <v>2459</v>
      </c>
      <c r="P19" t="s">
        <v>22</v>
      </c>
      <c r="Q19" t="s">
        <v>50</v>
      </c>
      <c r="R19" t="s">
        <v>809</v>
      </c>
      <c r="S19">
        <v>1451.511</v>
      </c>
      <c r="T19">
        <v>3</v>
      </c>
      <c r="U19">
        <v>0.15000000000000002</v>
      </c>
      <c r="V19">
        <v>-256.149</v>
      </c>
      <c r="W19" s="3">
        <v>58.77</v>
      </c>
      <c r="X19" t="s">
        <v>933</v>
      </c>
    </row>
    <row r="20" spans="1:24" x14ac:dyDescent="0.25">
      <c r="A20">
        <v>28875</v>
      </c>
      <c r="B20" t="s">
        <v>2347</v>
      </c>
      <c r="C20" s="1">
        <v>42531</v>
      </c>
      <c r="D20" s="1">
        <v>42532</v>
      </c>
      <c r="E20" t="s">
        <v>47</v>
      </c>
      <c r="F20" t="s">
        <v>1247</v>
      </c>
      <c r="G20" t="s">
        <v>702</v>
      </c>
      <c r="H20" t="s">
        <v>20</v>
      </c>
      <c r="I20" t="s">
        <v>921</v>
      </c>
      <c r="J20" t="s">
        <v>902</v>
      </c>
      <c r="K20" t="s">
        <v>903</v>
      </c>
      <c r="M20" t="s">
        <v>2991</v>
      </c>
      <c r="N20" t="s">
        <v>946</v>
      </c>
      <c r="O20" t="s">
        <v>2946</v>
      </c>
      <c r="P20" t="s">
        <v>22</v>
      </c>
      <c r="Q20" t="s">
        <v>50</v>
      </c>
      <c r="R20" t="s">
        <v>718</v>
      </c>
      <c r="S20">
        <v>1433.8394999999998</v>
      </c>
      <c r="T20">
        <v>3</v>
      </c>
      <c r="U20">
        <v>0.15000000000000002</v>
      </c>
      <c r="V20">
        <v>-84.370500000000021</v>
      </c>
      <c r="W20" s="3">
        <v>424.81</v>
      </c>
      <c r="X20" t="s">
        <v>931</v>
      </c>
    </row>
    <row r="21" spans="1:24" x14ac:dyDescent="0.25">
      <c r="A21">
        <v>24389</v>
      </c>
      <c r="B21" t="s">
        <v>2076</v>
      </c>
      <c r="C21" s="1">
        <v>42476</v>
      </c>
      <c r="D21" s="1">
        <v>42483</v>
      </c>
      <c r="E21" t="s">
        <v>19</v>
      </c>
      <c r="F21" t="s">
        <v>1080</v>
      </c>
      <c r="G21" t="s">
        <v>515</v>
      </c>
      <c r="H21" t="s">
        <v>20</v>
      </c>
      <c r="I21" t="s">
        <v>906</v>
      </c>
      <c r="J21" t="s">
        <v>902</v>
      </c>
      <c r="K21" t="s">
        <v>903</v>
      </c>
      <c r="M21" t="s">
        <v>2991</v>
      </c>
      <c r="N21" t="s">
        <v>946</v>
      </c>
      <c r="O21" t="s">
        <v>2935</v>
      </c>
      <c r="P21" t="s">
        <v>31</v>
      </c>
      <c r="Q21" t="s">
        <v>944</v>
      </c>
      <c r="R21" t="s">
        <v>408</v>
      </c>
      <c r="S21">
        <v>1431.4725000000001</v>
      </c>
      <c r="T21">
        <v>3</v>
      </c>
      <c r="U21">
        <v>0.25</v>
      </c>
      <c r="V21">
        <v>-343.59750000000003</v>
      </c>
      <c r="W21" s="3">
        <v>109.86</v>
      </c>
      <c r="X21" t="s">
        <v>933</v>
      </c>
    </row>
    <row r="22" spans="1:24" x14ac:dyDescent="0.25">
      <c r="A22">
        <v>29731</v>
      </c>
      <c r="B22" t="s">
        <v>2393</v>
      </c>
      <c r="C22" s="1">
        <v>42000</v>
      </c>
      <c r="D22" s="1">
        <v>42003</v>
      </c>
      <c r="E22" t="s">
        <v>47</v>
      </c>
      <c r="F22" t="s">
        <v>1069</v>
      </c>
      <c r="G22" t="s">
        <v>170</v>
      </c>
      <c r="H22" t="s">
        <v>20</v>
      </c>
      <c r="I22" t="s">
        <v>910</v>
      </c>
      <c r="J22" t="s">
        <v>902</v>
      </c>
      <c r="K22" t="s">
        <v>903</v>
      </c>
      <c r="M22" t="s">
        <v>2991</v>
      </c>
      <c r="N22" t="s">
        <v>946</v>
      </c>
      <c r="O22" t="s">
        <v>2863</v>
      </c>
      <c r="P22" t="s">
        <v>31</v>
      </c>
      <c r="Q22" t="s">
        <v>944</v>
      </c>
      <c r="R22" t="s">
        <v>700</v>
      </c>
      <c r="S22">
        <v>1431.3375000000001</v>
      </c>
      <c r="T22">
        <v>3</v>
      </c>
      <c r="U22">
        <v>0.25</v>
      </c>
      <c r="V22">
        <v>171.69749999999999</v>
      </c>
      <c r="W22" s="3">
        <v>194.21</v>
      </c>
      <c r="X22" t="s">
        <v>933</v>
      </c>
    </row>
    <row r="23" spans="1:24" x14ac:dyDescent="0.25">
      <c r="A23">
        <v>20865</v>
      </c>
      <c r="B23" t="s">
        <v>1871</v>
      </c>
      <c r="C23" s="1">
        <v>42391</v>
      </c>
      <c r="D23" s="1">
        <v>42395</v>
      </c>
      <c r="E23" t="s">
        <v>19</v>
      </c>
      <c r="F23" t="s">
        <v>976</v>
      </c>
      <c r="G23" t="s">
        <v>523</v>
      </c>
      <c r="H23" t="s">
        <v>20</v>
      </c>
      <c r="I23" t="s">
        <v>925</v>
      </c>
      <c r="J23" t="s">
        <v>911</v>
      </c>
      <c r="K23" t="s">
        <v>903</v>
      </c>
      <c r="M23" t="s">
        <v>2991</v>
      </c>
      <c r="N23" t="s">
        <v>946</v>
      </c>
      <c r="O23" t="s">
        <v>2613</v>
      </c>
      <c r="P23" t="s">
        <v>27</v>
      </c>
      <c r="Q23" t="s">
        <v>939</v>
      </c>
      <c r="R23" t="s">
        <v>277</v>
      </c>
      <c r="S23">
        <v>1428.3</v>
      </c>
      <c r="T23">
        <v>4</v>
      </c>
      <c r="U23">
        <v>0.25</v>
      </c>
      <c r="V23">
        <v>-57.180000000000007</v>
      </c>
      <c r="W23" s="3">
        <v>50.47</v>
      </c>
      <c r="X23" t="s">
        <v>933</v>
      </c>
    </row>
    <row r="24" spans="1:24" x14ac:dyDescent="0.25">
      <c r="A24">
        <v>21236</v>
      </c>
      <c r="B24" t="s">
        <v>1891</v>
      </c>
      <c r="C24" s="1">
        <v>41573</v>
      </c>
      <c r="D24" s="1">
        <v>41579</v>
      </c>
      <c r="E24" t="s">
        <v>19</v>
      </c>
      <c r="F24" t="s">
        <v>1113</v>
      </c>
      <c r="G24" t="s">
        <v>548</v>
      </c>
      <c r="H24" t="s">
        <v>39</v>
      </c>
      <c r="I24" t="s">
        <v>906</v>
      </c>
      <c r="J24" t="s">
        <v>902</v>
      </c>
      <c r="K24" t="s">
        <v>903</v>
      </c>
      <c r="M24" t="s">
        <v>2991</v>
      </c>
      <c r="N24" t="s">
        <v>946</v>
      </c>
      <c r="O24" t="s">
        <v>2691</v>
      </c>
      <c r="P24" t="s">
        <v>27</v>
      </c>
      <c r="Q24" t="s">
        <v>939</v>
      </c>
      <c r="R24" t="s">
        <v>243</v>
      </c>
      <c r="S24">
        <v>1402.29</v>
      </c>
      <c r="T24">
        <v>4</v>
      </c>
      <c r="U24">
        <v>0.25</v>
      </c>
      <c r="V24">
        <v>411.33000000000004</v>
      </c>
      <c r="W24" s="3">
        <v>154.04</v>
      </c>
      <c r="X24" t="s">
        <v>933</v>
      </c>
    </row>
    <row r="25" spans="1:24" x14ac:dyDescent="0.25">
      <c r="A25">
        <v>21876</v>
      </c>
      <c r="B25" t="s">
        <v>1925</v>
      </c>
      <c r="C25" s="1">
        <v>42611</v>
      </c>
      <c r="D25" s="1">
        <v>42616</v>
      </c>
      <c r="E25" t="s">
        <v>19</v>
      </c>
      <c r="F25" t="s">
        <v>987</v>
      </c>
      <c r="G25" t="s">
        <v>486</v>
      </c>
      <c r="H25" t="s">
        <v>39</v>
      </c>
      <c r="I25" t="s">
        <v>906</v>
      </c>
      <c r="J25" t="s">
        <v>902</v>
      </c>
      <c r="K25" t="s">
        <v>903</v>
      </c>
      <c r="M25" t="s">
        <v>2991</v>
      </c>
      <c r="N25" t="s">
        <v>946</v>
      </c>
      <c r="O25" t="s">
        <v>2707</v>
      </c>
      <c r="P25" t="s">
        <v>22</v>
      </c>
      <c r="Q25" t="s">
        <v>50</v>
      </c>
      <c r="R25" t="s">
        <v>794</v>
      </c>
      <c r="S25">
        <v>1274.3625</v>
      </c>
      <c r="T25">
        <v>5</v>
      </c>
      <c r="U25">
        <v>0.15000000000000002</v>
      </c>
      <c r="V25">
        <v>314.81250000000006</v>
      </c>
      <c r="W25" s="3">
        <v>113.16</v>
      </c>
      <c r="X25" t="s">
        <v>933</v>
      </c>
    </row>
    <row r="26" spans="1:24" x14ac:dyDescent="0.25">
      <c r="A26">
        <v>22699</v>
      </c>
      <c r="B26" t="s">
        <v>1979</v>
      </c>
      <c r="C26" s="1">
        <v>41320</v>
      </c>
      <c r="D26" s="1">
        <v>41326</v>
      </c>
      <c r="E26" t="s">
        <v>19</v>
      </c>
      <c r="F26" t="s">
        <v>1039</v>
      </c>
      <c r="G26" t="s">
        <v>626</v>
      </c>
      <c r="H26" t="s">
        <v>20</v>
      </c>
      <c r="I26" t="s">
        <v>906</v>
      </c>
      <c r="J26" t="s">
        <v>902</v>
      </c>
      <c r="K26" t="s">
        <v>903</v>
      </c>
      <c r="M26" t="s">
        <v>2991</v>
      </c>
      <c r="N26" t="s">
        <v>946</v>
      </c>
      <c r="O26" t="s">
        <v>2804</v>
      </c>
      <c r="P26" t="s">
        <v>31</v>
      </c>
      <c r="Q26" t="s">
        <v>943</v>
      </c>
      <c r="R26" t="s">
        <v>312</v>
      </c>
      <c r="S26">
        <v>1235.2860000000001</v>
      </c>
      <c r="T26">
        <v>6</v>
      </c>
      <c r="U26">
        <v>0.35</v>
      </c>
      <c r="V26">
        <v>-456.17399999999998</v>
      </c>
      <c r="W26" s="3">
        <v>118.63</v>
      </c>
      <c r="X26" t="s">
        <v>934</v>
      </c>
    </row>
    <row r="27" spans="1:24" x14ac:dyDescent="0.25">
      <c r="A27">
        <v>27698</v>
      </c>
      <c r="B27" t="s">
        <v>2286</v>
      </c>
      <c r="C27" s="1">
        <v>41901</v>
      </c>
      <c r="D27" s="1">
        <v>41907</v>
      </c>
      <c r="E27" t="s">
        <v>19</v>
      </c>
      <c r="F27" t="s">
        <v>984</v>
      </c>
      <c r="G27" t="s">
        <v>244</v>
      </c>
      <c r="H27" t="s">
        <v>37</v>
      </c>
      <c r="I27" t="s">
        <v>906</v>
      </c>
      <c r="J27" t="s">
        <v>902</v>
      </c>
      <c r="K27" t="s">
        <v>903</v>
      </c>
      <c r="M27" t="s">
        <v>2991</v>
      </c>
      <c r="N27" t="s">
        <v>946</v>
      </c>
      <c r="O27" t="s">
        <v>2982</v>
      </c>
      <c r="P27" t="s">
        <v>31</v>
      </c>
      <c r="Q27" t="s">
        <v>943</v>
      </c>
      <c r="R27" t="s">
        <v>192</v>
      </c>
      <c r="S27">
        <v>1192.7370000000003</v>
      </c>
      <c r="T27">
        <v>7</v>
      </c>
      <c r="U27">
        <v>0.35</v>
      </c>
      <c r="V27">
        <v>-183.60300000000007</v>
      </c>
      <c r="W27" s="3">
        <v>77.08</v>
      </c>
      <c r="X27" t="s">
        <v>933</v>
      </c>
    </row>
    <row r="28" spans="1:24" x14ac:dyDescent="0.25">
      <c r="A28">
        <v>22458</v>
      </c>
      <c r="B28" t="s">
        <v>1961</v>
      </c>
      <c r="C28" s="1">
        <v>42724</v>
      </c>
      <c r="D28" s="1">
        <v>42728</v>
      </c>
      <c r="E28" t="s">
        <v>19</v>
      </c>
      <c r="F28" t="s">
        <v>1436</v>
      </c>
      <c r="G28" t="s">
        <v>311</v>
      </c>
      <c r="H28" t="s">
        <v>39</v>
      </c>
      <c r="I28" t="s">
        <v>912</v>
      </c>
      <c r="J28" t="s">
        <v>913</v>
      </c>
      <c r="K28" t="s">
        <v>903</v>
      </c>
      <c r="M28" t="s">
        <v>2991</v>
      </c>
      <c r="N28" t="s">
        <v>946</v>
      </c>
      <c r="O28" t="s">
        <v>1530</v>
      </c>
      <c r="P28" t="s">
        <v>27</v>
      </c>
      <c r="Q28" t="s">
        <v>939</v>
      </c>
      <c r="R28" t="s">
        <v>587</v>
      </c>
      <c r="S28">
        <v>1189.2824999999998</v>
      </c>
      <c r="T28">
        <v>9</v>
      </c>
      <c r="U28">
        <v>0.25</v>
      </c>
      <c r="V28">
        <v>-396.42750000000001</v>
      </c>
      <c r="W28" s="3">
        <v>225.78</v>
      </c>
      <c r="X28" t="s">
        <v>931</v>
      </c>
    </row>
    <row r="29" spans="1:24" x14ac:dyDescent="0.25">
      <c r="A29">
        <v>26893</v>
      </c>
      <c r="B29" t="s">
        <v>2228</v>
      </c>
      <c r="C29" s="1">
        <v>41649</v>
      </c>
      <c r="D29" s="1">
        <v>41653</v>
      </c>
      <c r="E29" t="s">
        <v>43</v>
      </c>
      <c r="F29" t="s">
        <v>1071</v>
      </c>
      <c r="G29" t="s">
        <v>216</v>
      </c>
      <c r="H29" t="s">
        <v>39</v>
      </c>
      <c r="I29" t="s">
        <v>912</v>
      </c>
      <c r="J29" t="s">
        <v>913</v>
      </c>
      <c r="K29" t="s">
        <v>903</v>
      </c>
      <c r="M29" t="s">
        <v>2991</v>
      </c>
      <c r="N29" t="s">
        <v>946</v>
      </c>
      <c r="O29" t="s">
        <v>2985</v>
      </c>
      <c r="P29" t="s">
        <v>22</v>
      </c>
      <c r="Q29" t="s">
        <v>50</v>
      </c>
      <c r="R29" t="s">
        <v>122</v>
      </c>
      <c r="S29">
        <v>1181.0324999999998</v>
      </c>
      <c r="T29">
        <v>5</v>
      </c>
      <c r="U29">
        <v>0.15000000000000002</v>
      </c>
      <c r="V29">
        <v>138.83249999999992</v>
      </c>
      <c r="W29" s="3">
        <v>167.74</v>
      </c>
      <c r="X29" t="s">
        <v>933</v>
      </c>
    </row>
    <row r="30" spans="1:24" x14ac:dyDescent="0.25">
      <c r="A30">
        <v>24816</v>
      </c>
      <c r="B30" t="s">
        <v>2100</v>
      </c>
      <c r="C30" s="1">
        <v>42067</v>
      </c>
      <c r="D30" s="1">
        <v>42072</v>
      </c>
      <c r="E30" t="s">
        <v>43</v>
      </c>
      <c r="F30" t="s">
        <v>1157</v>
      </c>
      <c r="G30" t="s">
        <v>725</v>
      </c>
      <c r="H30" t="s">
        <v>20</v>
      </c>
      <c r="I30" t="s">
        <v>906</v>
      </c>
      <c r="J30" t="s">
        <v>902</v>
      </c>
      <c r="K30" t="s">
        <v>903</v>
      </c>
      <c r="M30" t="s">
        <v>2991</v>
      </c>
      <c r="N30" t="s">
        <v>946</v>
      </c>
      <c r="O30" t="s">
        <v>2872</v>
      </c>
      <c r="P30" t="s">
        <v>27</v>
      </c>
      <c r="Q30" t="s">
        <v>29</v>
      </c>
      <c r="R30" t="s">
        <v>858</v>
      </c>
      <c r="S30">
        <v>1179.2625</v>
      </c>
      <c r="T30">
        <v>5</v>
      </c>
      <c r="U30">
        <v>0.35</v>
      </c>
      <c r="V30">
        <v>-471.78749999999997</v>
      </c>
      <c r="W30" s="3">
        <v>138.87</v>
      </c>
      <c r="X30" t="s">
        <v>933</v>
      </c>
    </row>
    <row r="31" spans="1:24" x14ac:dyDescent="0.25">
      <c r="A31">
        <v>22638</v>
      </c>
      <c r="B31" t="s">
        <v>1973</v>
      </c>
      <c r="C31" s="1">
        <v>42558</v>
      </c>
      <c r="D31" s="1">
        <v>42562</v>
      </c>
      <c r="E31" t="s">
        <v>19</v>
      </c>
      <c r="F31" t="s">
        <v>1069</v>
      </c>
      <c r="G31" t="s">
        <v>170</v>
      </c>
      <c r="H31" t="s">
        <v>20</v>
      </c>
      <c r="I31" t="s">
        <v>906</v>
      </c>
      <c r="J31" t="s">
        <v>902</v>
      </c>
      <c r="K31" t="s">
        <v>903</v>
      </c>
      <c r="M31" t="s">
        <v>2991</v>
      </c>
      <c r="N31" t="s">
        <v>946</v>
      </c>
      <c r="O31" t="s">
        <v>2555</v>
      </c>
      <c r="P31" t="s">
        <v>31</v>
      </c>
      <c r="Q31" t="s">
        <v>938</v>
      </c>
      <c r="R31" t="s">
        <v>56</v>
      </c>
      <c r="S31">
        <v>1164.3750000000002</v>
      </c>
      <c r="T31">
        <v>5</v>
      </c>
      <c r="U31">
        <v>0.25</v>
      </c>
      <c r="V31">
        <v>-201.82500000000007</v>
      </c>
      <c r="W31" s="3">
        <v>81.03</v>
      </c>
      <c r="X31" t="s">
        <v>933</v>
      </c>
    </row>
    <row r="32" spans="1:24" x14ac:dyDescent="0.25">
      <c r="A32">
        <v>22380</v>
      </c>
      <c r="B32" t="s">
        <v>1956</v>
      </c>
      <c r="C32" s="1">
        <v>42134</v>
      </c>
      <c r="D32" s="1">
        <v>42140</v>
      </c>
      <c r="E32" t="s">
        <v>19</v>
      </c>
      <c r="F32" t="s">
        <v>1290</v>
      </c>
      <c r="G32" t="s">
        <v>417</v>
      </c>
      <c r="H32" t="s">
        <v>37</v>
      </c>
      <c r="I32" t="s">
        <v>906</v>
      </c>
      <c r="J32" t="s">
        <v>902</v>
      </c>
      <c r="K32" t="s">
        <v>903</v>
      </c>
      <c r="M32" t="s">
        <v>2991</v>
      </c>
      <c r="N32" t="s">
        <v>946</v>
      </c>
      <c r="O32" t="s">
        <v>2535</v>
      </c>
      <c r="P32" t="s">
        <v>27</v>
      </c>
      <c r="Q32" t="s">
        <v>939</v>
      </c>
      <c r="R32" t="s">
        <v>500</v>
      </c>
      <c r="S32">
        <v>1088.2350000000001</v>
      </c>
      <c r="T32">
        <v>9</v>
      </c>
      <c r="U32">
        <v>0.25</v>
      </c>
      <c r="V32">
        <v>333.58499999999998</v>
      </c>
      <c r="W32" s="3">
        <v>100.21</v>
      </c>
      <c r="X32" t="s">
        <v>934</v>
      </c>
    </row>
    <row r="33" spans="1:24" x14ac:dyDescent="0.25">
      <c r="A33">
        <v>25176</v>
      </c>
      <c r="B33" t="s">
        <v>2117</v>
      </c>
      <c r="C33" s="1">
        <v>42653</v>
      </c>
      <c r="D33" s="1">
        <v>42655</v>
      </c>
      <c r="E33" t="s">
        <v>43</v>
      </c>
      <c r="F33" t="s">
        <v>1092</v>
      </c>
      <c r="G33" t="s">
        <v>675</v>
      </c>
      <c r="H33" t="s">
        <v>39</v>
      </c>
      <c r="I33" t="s">
        <v>916</v>
      </c>
      <c r="J33" t="s">
        <v>911</v>
      </c>
      <c r="K33" t="s">
        <v>903</v>
      </c>
      <c r="M33" t="s">
        <v>2991</v>
      </c>
      <c r="N33" t="s">
        <v>946</v>
      </c>
      <c r="O33" t="s">
        <v>2552</v>
      </c>
      <c r="P33" t="s">
        <v>27</v>
      </c>
      <c r="Q33" t="s">
        <v>939</v>
      </c>
      <c r="R33" t="s">
        <v>686</v>
      </c>
      <c r="S33">
        <v>1070.6849999999997</v>
      </c>
      <c r="T33">
        <v>3</v>
      </c>
      <c r="U33">
        <v>0.25</v>
      </c>
      <c r="V33">
        <v>-14.354999999999905</v>
      </c>
      <c r="W33" s="3">
        <v>190.41</v>
      </c>
      <c r="X33" t="s">
        <v>931</v>
      </c>
    </row>
    <row r="34" spans="1:24" x14ac:dyDescent="0.25">
      <c r="A34">
        <v>23413</v>
      </c>
      <c r="B34" t="s">
        <v>2023</v>
      </c>
      <c r="C34" s="1">
        <v>42414</v>
      </c>
      <c r="D34" s="1">
        <v>42419</v>
      </c>
      <c r="E34" t="s">
        <v>19</v>
      </c>
      <c r="F34" t="s">
        <v>1173</v>
      </c>
      <c r="G34" t="s">
        <v>90</v>
      </c>
      <c r="H34" t="s">
        <v>20</v>
      </c>
      <c r="I34" t="s">
        <v>906</v>
      </c>
      <c r="J34" t="s">
        <v>902</v>
      </c>
      <c r="K34" t="s">
        <v>903</v>
      </c>
      <c r="M34" t="s">
        <v>2991</v>
      </c>
      <c r="N34" t="s">
        <v>946</v>
      </c>
      <c r="O34" t="s">
        <v>2691</v>
      </c>
      <c r="P34" t="s">
        <v>27</v>
      </c>
      <c r="Q34" t="s">
        <v>939</v>
      </c>
      <c r="R34" t="s">
        <v>243</v>
      </c>
      <c r="S34">
        <v>1051.7175</v>
      </c>
      <c r="T34">
        <v>3</v>
      </c>
      <c r="U34">
        <v>0.25</v>
      </c>
      <c r="V34">
        <v>308.49749999999995</v>
      </c>
      <c r="W34" s="3">
        <v>103.58</v>
      </c>
      <c r="X34" t="s">
        <v>933</v>
      </c>
    </row>
    <row r="35" spans="1:24" x14ac:dyDescent="0.25">
      <c r="A35">
        <v>24115</v>
      </c>
      <c r="B35" t="s">
        <v>2063</v>
      </c>
      <c r="C35" s="1">
        <v>41582</v>
      </c>
      <c r="D35" s="1">
        <v>41584</v>
      </c>
      <c r="E35" t="s">
        <v>43</v>
      </c>
      <c r="F35" t="s">
        <v>1213</v>
      </c>
      <c r="G35" t="s">
        <v>214</v>
      </c>
      <c r="H35" t="s">
        <v>20</v>
      </c>
      <c r="I35" t="s">
        <v>906</v>
      </c>
      <c r="J35" t="s">
        <v>902</v>
      </c>
      <c r="K35" t="s">
        <v>903</v>
      </c>
      <c r="M35" t="s">
        <v>2991</v>
      </c>
      <c r="N35" t="s">
        <v>946</v>
      </c>
      <c r="O35" t="s">
        <v>2925</v>
      </c>
      <c r="P35" t="s">
        <v>27</v>
      </c>
      <c r="Q35" t="s">
        <v>53</v>
      </c>
      <c r="R35" t="s">
        <v>576</v>
      </c>
      <c r="S35">
        <v>1046.2499999999998</v>
      </c>
      <c r="T35">
        <v>5</v>
      </c>
      <c r="U35">
        <v>0.55000000000000004</v>
      </c>
      <c r="V35">
        <v>-976.50000000000023</v>
      </c>
      <c r="W35" s="3">
        <v>163.02000000000001</v>
      </c>
      <c r="X35" t="s">
        <v>931</v>
      </c>
    </row>
    <row r="36" spans="1:24" x14ac:dyDescent="0.25">
      <c r="A36">
        <v>24435</v>
      </c>
      <c r="B36" t="s">
        <v>2078</v>
      </c>
      <c r="C36" s="1">
        <v>42417</v>
      </c>
      <c r="D36" s="1">
        <v>42418</v>
      </c>
      <c r="E36" t="s">
        <v>47</v>
      </c>
      <c r="F36" t="s">
        <v>1021</v>
      </c>
      <c r="G36" t="s">
        <v>555</v>
      </c>
      <c r="H36" t="s">
        <v>20</v>
      </c>
      <c r="I36" t="s">
        <v>922</v>
      </c>
      <c r="J36" t="s">
        <v>923</v>
      </c>
      <c r="K36" t="s">
        <v>903</v>
      </c>
      <c r="M36" t="s">
        <v>2991</v>
      </c>
      <c r="N36" t="s">
        <v>946</v>
      </c>
      <c r="O36" t="s">
        <v>2512</v>
      </c>
      <c r="P36" t="s">
        <v>27</v>
      </c>
      <c r="Q36" t="s">
        <v>939</v>
      </c>
      <c r="R36" t="s">
        <v>245</v>
      </c>
      <c r="S36">
        <v>1046.2499999999995</v>
      </c>
      <c r="T36">
        <v>3</v>
      </c>
      <c r="U36">
        <v>0.25</v>
      </c>
      <c r="V36">
        <v>-111.59999999999985</v>
      </c>
      <c r="W36" s="3">
        <v>289.32</v>
      </c>
      <c r="X36" t="s">
        <v>931</v>
      </c>
    </row>
    <row r="37" spans="1:24" x14ac:dyDescent="0.25">
      <c r="A37">
        <v>22240</v>
      </c>
      <c r="B37" t="s">
        <v>1945</v>
      </c>
      <c r="C37" s="1">
        <v>42378</v>
      </c>
      <c r="D37" s="1">
        <v>42383</v>
      </c>
      <c r="E37" t="s">
        <v>19</v>
      </c>
      <c r="F37" t="s">
        <v>1159</v>
      </c>
      <c r="G37" t="s">
        <v>106</v>
      </c>
      <c r="H37" t="s">
        <v>37</v>
      </c>
      <c r="I37" t="s">
        <v>906</v>
      </c>
      <c r="J37" t="s">
        <v>902</v>
      </c>
      <c r="K37" t="s">
        <v>903</v>
      </c>
      <c r="M37" t="s">
        <v>2991</v>
      </c>
      <c r="N37" t="s">
        <v>946</v>
      </c>
      <c r="O37" t="s">
        <v>2698</v>
      </c>
      <c r="P37" t="s">
        <v>27</v>
      </c>
      <c r="Q37" t="s">
        <v>939</v>
      </c>
      <c r="R37" t="s">
        <v>821</v>
      </c>
      <c r="S37">
        <v>1032.7499999999995</v>
      </c>
      <c r="T37">
        <v>3</v>
      </c>
      <c r="U37">
        <v>0.25</v>
      </c>
      <c r="V37">
        <v>-165.2399999999999</v>
      </c>
      <c r="W37" s="3">
        <v>41.47</v>
      </c>
      <c r="X37" t="s">
        <v>933</v>
      </c>
    </row>
    <row r="38" spans="1:24" x14ac:dyDescent="0.25">
      <c r="A38">
        <v>30217</v>
      </c>
      <c r="B38" t="s">
        <v>2427</v>
      </c>
      <c r="C38" s="1">
        <v>42090</v>
      </c>
      <c r="D38" s="1">
        <v>42097</v>
      </c>
      <c r="E38" t="s">
        <v>19</v>
      </c>
      <c r="F38" t="s">
        <v>1165</v>
      </c>
      <c r="G38" t="s">
        <v>221</v>
      </c>
      <c r="H38" t="s">
        <v>39</v>
      </c>
      <c r="I38" t="s">
        <v>906</v>
      </c>
      <c r="J38" t="s">
        <v>902</v>
      </c>
      <c r="K38" t="s">
        <v>903</v>
      </c>
      <c r="M38" t="s">
        <v>2991</v>
      </c>
      <c r="N38" t="s">
        <v>946</v>
      </c>
      <c r="O38" t="s">
        <v>1824</v>
      </c>
      <c r="P38" t="s">
        <v>31</v>
      </c>
      <c r="Q38" t="s">
        <v>943</v>
      </c>
      <c r="R38" t="s">
        <v>474</v>
      </c>
      <c r="S38">
        <v>1028.9175000000002</v>
      </c>
      <c r="T38">
        <v>5</v>
      </c>
      <c r="U38">
        <v>0.35</v>
      </c>
      <c r="V38">
        <v>-221.63249999999999</v>
      </c>
      <c r="W38" s="3">
        <v>61.24</v>
      </c>
      <c r="X38" t="s">
        <v>933</v>
      </c>
    </row>
    <row r="39" spans="1:24" x14ac:dyDescent="0.25">
      <c r="A39">
        <v>28921</v>
      </c>
      <c r="B39" t="s">
        <v>2349</v>
      </c>
      <c r="C39" s="1">
        <v>42223</v>
      </c>
      <c r="D39" s="1">
        <v>42227</v>
      </c>
      <c r="E39" t="s">
        <v>43</v>
      </c>
      <c r="F39" t="s">
        <v>1270</v>
      </c>
      <c r="G39" t="s">
        <v>618</v>
      </c>
      <c r="H39" t="s">
        <v>20</v>
      </c>
      <c r="I39" t="s">
        <v>918</v>
      </c>
      <c r="J39" t="s">
        <v>911</v>
      </c>
      <c r="K39" t="s">
        <v>903</v>
      </c>
      <c r="M39" t="s">
        <v>2991</v>
      </c>
      <c r="N39" t="s">
        <v>946</v>
      </c>
      <c r="O39" t="s">
        <v>2733</v>
      </c>
      <c r="P39" t="s">
        <v>31</v>
      </c>
      <c r="Q39" t="s">
        <v>938</v>
      </c>
      <c r="R39" t="s">
        <v>896</v>
      </c>
      <c r="S39">
        <v>1000.9125</v>
      </c>
      <c r="T39">
        <v>5</v>
      </c>
      <c r="U39">
        <v>0.25</v>
      </c>
      <c r="V39">
        <v>26.662499999999966</v>
      </c>
      <c r="W39" s="3">
        <v>143.09</v>
      </c>
      <c r="X39" t="s">
        <v>933</v>
      </c>
    </row>
    <row r="40" spans="1:24" x14ac:dyDescent="0.25">
      <c r="A40">
        <v>23179</v>
      </c>
      <c r="B40" t="s">
        <v>2012</v>
      </c>
      <c r="C40" s="1">
        <v>42404</v>
      </c>
      <c r="D40" s="1">
        <v>42407</v>
      </c>
      <c r="E40" t="s">
        <v>47</v>
      </c>
      <c r="F40" t="s">
        <v>1364</v>
      </c>
      <c r="G40" t="s">
        <v>186</v>
      </c>
      <c r="H40" t="s">
        <v>39</v>
      </c>
      <c r="I40" t="s">
        <v>906</v>
      </c>
      <c r="J40" t="s">
        <v>902</v>
      </c>
      <c r="K40" t="s">
        <v>903</v>
      </c>
      <c r="M40" t="s">
        <v>2991</v>
      </c>
      <c r="N40" t="s">
        <v>946</v>
      </c>
      <c r="O40" t="s">
        <v>2633</v>
      </c>
      <c r="P40" t="s">
        <v>31</v>
      </c>
      <c r="Q40" t="s">
        <v>944</v>
      </c>
      <c r="R40" t="s">
        <v>67</v>
      </c>
      <c r="S40">
        <v>956.02500000000009</v>
      </c>
      <c r="T40">
        <v>2</v>
      </c>
      <c r="U40">
        <v>0.25</v>
      </c>
      <c r="V40">
        <v>-153.01500000000001</v>
      </c>
      <c r="W40" s="3">
        <v>136.9</v>
      </c>
      <c r="X40" t="s">
        <v>933</v>
      </c>
    </row>
    <row r="41" spans="1:24" x14ac:dyDescent="0.25">
      <c r="A41">
        <v>20497</v>
      </c>
      <c r="B41" t="s">
        <v>1851</v>
      </c>
      <c r="C41" s="1">
        <v>41724</v>
      </c>
      <c r="D41" s="1">
        <v>41728</v>
      </c>
      <c r="E41" t="s">
        <v>19</v>
      </c>
      <c r="F41" t="s">
        <v>1237</v>
      </c>
      <c r="G41" t="s">
        <v>419</v>
      </c>
      <c r="H41" t="s">
        <v>37</v>
      </c>
      <c r="I41" t="s">
        <v>906</v>
      </c>
      <c r="J41" t="s">
        <v>902</v>
      </c>
      <c r="K41" t="s">
        <v>903</v>
      </c>
      <c r="M41" t="s">
        <v>2991</v>
      </c>
      <c r="N41" t="s">
        <v>946</v>
      </c>
      <c r="O41" t="s">
        <v>2524</v>
      </c>
      <c r="P41" t="s">
        <v>31</v>
      </c>
      <c r="Q41" t="s">
        <v>944</v>
      </c>
      <c r="R41" t="s">
        <v>762</v>
      </c>
      <c r="S41">
        <v>955.86750000000006</v>
      </c>
      <c r="T41">
        <v>7</v>
      </c>
      <c r="U41">
        <v>0.25</v>
      </c>
      <c r="V41">
        <v>229.26749999999998</v>
      </c>
      <c r="W41" s="3">
        <v>68.17</v>
      </c>
      <c r="X41" t="s">
        <v>931</v>
      </c>
    </row>
    <row r="42" spans="1:24" x14ac:dyDescent="0.25">
      <c r="A42">
        <v>23821</v>
      </c>
      <c r="B42" t="s">
        <v>2049</v>
      </c>
      <c r="C42" s="1">
        <v>41341</v>
      </c>
      <c r="D42" s="1">
        <v>41345</v>
      </c>
      <c r="E42" t="s">
        <v>19</v>
      </c>
      <c r="F42" t="s">
        <v>982</v>
      </c>
      <c r="G42" t="s">
        <v>520</v>
      </c>
      <c r="H42" t="s">
        <v>39</v>
      </c>
      <c r="I42" t="s">
        <v>906</v>
      </c>
      <c r="J42" t="s">
        <v>902</v>
      </c>
      <c r="K42" t="s">
        <v>903</v>
      </c>
      <c r="M42" t="s">
        <v>2991</v>
      </c>
      <c r="N42" t="s">
        <v>946</v>
      </c>
      <c r="O42" t="s">
        <v>1833</v>
      </c>
      <c r="P42" t="s">
        <v>31</v>
      </c>
      <c r="Q42" t="s">
        <v>944</v>
      </c>
      <c r="R42" t="s">
        <v>645</v>
      </c>
      <c r="S42">
        <v>954.22500000000014</v>
      </c>
      <c r="T42">
        <v>2</v>
      </c>
      <c r="U42">
        <v>0.25</v>
      </c>
      <c r="V42">
        <v>38.144999999999925</v>
      </c>
      <c r="W42" s="3">
        <v>20.84</v>
      </c>
      <c r="X42" t="s">
        <v>933</v>
      </c>
    </row>
    <row r="43" spans="1:24" x14ac:dyDescent="0.25">
      <c r="A43">
        <v>26954</v>
      </c>
      <c r="B43" t="s">
        <v>2230</v>
      </c>
      <c r="C43" s="1">
        <v>42264</v>
      </c>
      <c r="D43" s="1">
        <v>42271</v>
      </c>
      <c r="E43" t="s">
        <v>19</v>
      </c>
      <c r="F43" t="s">
        <v>1040</v>
      </c>
      <c r="G43" t="s">
        <v>142</v>
      </c>
      <c r="H43" t="s">
        <v>20</v>
      </c>
      <c r="I43" t="s">
        <v>220</v>
      </c>
      <c r="J43" t="s">
        <v>919</v>
      </c>
      <c r="K43" t="s">
        <v>903</v>
      </c>
      <c r="M43" t="s">
        <v>2991</v>
      </c>
      <c r="N43" t="s">
        <v>946</v>
      </c>
      <c r="O43" t="s">
        <v>2972</v>
      </c>
      <c r="P43" t="s">
        <v>27</v>
      </c>
      <c r="Q43" t="s">
        <v>29</v>
      </c>
      <c r="R43" t="s">
        <v>373</v>
      </c>
      <c r="S43">
        <v>953.93999999999994</v>
      </c>
      <c r="T43">
        <v>10</v>
      </c>
      <c r="U43">
        <v>0.35</v>
      </c>
      <c r="V43">
        <v>131.94000000000005</v>
      </c>
      <c r="W43" s="3">
        <v>4.7300000000000004</v>
      </c>
      <c r="X43" t="s">
        <v>934</v>
      </c>
    </row>
    <row r="44" spans="1:24" x14ac:dyDescent="0.25">
      <c r="A44">
        <v>26093</v>
      </c>
      <c r="B44" t="s">
        <v>2174</v>
      </c>
      <c r="C44" s="1">
        <v>42498</v>
      </c>
      <c r="D44" s="1">
        <v>42504</v>
      </c>
      <c r="E44" t="s">
        <v>19</v>
      </c>
      <c r="F44" t="s">
        <v>1168</v>
      </c>
      <c r="G44" t="s">
        <v>349</v>
      </c>
      <c r="H44" t="s">
        <v>39</v>
      </c>
      <c r="I44" t="s">
        <v>906</v>
      </c>
      <c r="J44" t="s">
        <v>902</v>
      </c>
      <c r="K44" t="s">
        <v>903</v>
      </c>
      <c r="M44" t="s">
        <v>2991</v>
      </c>
      <c r="N44" t="s">
        <v>946</v>
      </c>
      <c r="O44" t="s">
        <v>2615</v>
      </c>
      <c r="P44" t="s">
        <v>27</v>
      </c>
      <c r="Q44" t="s">
        <v>29</v>
      </c>
      <c r="R44" t="s">
        <v>614</v>
      </c>
      <c r="S44">
        <v>945.82800000000009</v>
      </c>
      <c r="T44">
        <v>4</v>
      </c>
      <c r="U44">
        <v>0.35</v>
      </c>
      <c r="V44">
        <v>-392.89200000000005</v>
      </c>
      <c r="W44" s="3">
        <v>57.02</v>
      </c>
      <c r="X44" t="s">
        <v>933</v>
      </c>
    </row>
    <row r="45" spans="1:24" x14ac:dyDescent="0.25">
      <c r="A45">
        <v>22772</v>
      </c>
      <c r="B45" t="s">
        <v>1985</v>
      </c>
      <c r="C45" s="1">
        <v>41920</v>
      </c>
      <c r="D45" s="1">
        <v>41926</v>
      </c>
      <c r="E45" t="s">
        <v>19</v>
      </c>
      <c r="F45" t="s">
        <v>985</v>
      </c>
      <c r="G45" t="s">
        <v>428</v>
      </c>
      <c r="H45" t="s">
        <v>20</v>
      </c>
      <c r="I45" t="s">
        <v>906</v>
      </c>
      <c r="J45" t="s">
        <v>902</v>
      </c>
      <c r="K45" t="s">
        <v>903</v>
      </c>
      <c r="M45" t="s">
        <v>2991</v>
      </c>
      <c r="N45" t="s">
        <v>946</v>
      </c>
      <c r="O45" t="s">
        <v>2615</v>
      </c>
      <c r="P45" t="s">
        <v>27</v>
      </c>
      <c r="Q45" t="s">
        <v>29</v>
      </c>
      <c r="R45" t="s">
        <v>614</v>
      </c>
      <c r="S45">
        <v>945.82800000000009</v>
      </c>
      <c r="T45">
        <v>4</v>
      </c>
      <c r="U45">
        <v>0.35</v>
      </c>
      <c r="V45">
        <v>-392.89200000000005</v>
      </c>
      <c r="W45" s="3">
        <v>33.99</v>
      </c>
      <c r="X45" t="s">
        <v>933</v>
      </c>
    </row>
    <row r="46" spans="1:24" x14ac:dyDescent="0.25">
      <c r="A46">
        <v>26448</v>
      </c>
      <c r="B46" t="s">
        <v>2200</v>
      </c>
      <c r="C46" s="1">
        <v>42232</v>
      </c>
      <c r="D46" s="1">
        <v>42239</v>
      </c>
      <c r="E46" t="s">
        <v>19</v>
      </c>
      <c r="F46" t="s">
        <v>1512</v>
      </c>
      <c r="G46" t="s">
        <v>804</v>
      </c>
      <c r="H46" t="s">
        <v>20</v>
      </c>
      <c r="I46" t="s">
        <v>906</v>
      </c>
      <c r="J46" t="s">
        <v>902</v>
      </c>
      <c r="K46" t="s">
        <v>903</v>
      </c>
      <c r="M46" t="s">
        <v>2991</v>
      </c>
      <c r="N46" t="s">
        <v>946</v>
      </c>
      <c r="O46" t="s">
        <v>2980</v>
      </c>
      <c r="P46" t="s">
        <v>22</v>
      </c>
      <c r="Q46" t="s">
        <v>50</v>
      </c>
      <c r="R46" t="s">
        <v>138</v>
      </c>
      <c r="S46">
        <v>921.97800000000007</v>
      </c>
      <c r="T46">
        <v>2</v>
      </c>
      <c r="U46">
        <v>0.15000000000000002</v>
      </c>
      <c r="V46">
        <v>216.91799999999998</v>
      </c>
      <c r="W46" s="3">
        <v>66.23</v>
      </c>
      <c r="X46" t="s">
        <v>934</v>
      </c>
    </row>
    <row r="47" spans="1:24" x14ac:dyDescent="0.25">
      <c r="A47">
        <v>22701</v>
      </c>
      <c r="B47" t="s">
        <v>1979</v>
      </c>
      <c r="C47" s="1">
        <v>41320</v>
      </c>
      <c r="D47" s="1">
        <v>41326</v>
      </c>
      <c r="E47" t="s">
        <v>19</v>
      </c>
      <c r="F47" t="s">
        <v>1039</v>
      </c>
      <c r="G47" t="s">
        <v>626</v>
      </c>
      <c r="H47" t="s">
        <v>20</v>
      </c>
      <c r="I47" t="s">
        <v>906</v>
      </c>
      <c r="J47" t="s">
        <v>902</v>
      </c>
      <c r="K47" t="s">
        <v>903</v>
      </c>
      <c r="M47" t="s">
        <v>2991</v>
      </c>
      <c r="N47" t="s">
        <v>946</v>
      </c>
      <c r="O47" t="s">
        <v>2533</v>
      </c>
      <c r="P47" t="s">
        <v>31</v>
      </c>
      <c r="Q47" t="s">
        <v>944</v>
      </c>
      <c r="R47" t="s">
        <v>646</v>
      </c>
      <c r="S47">
        <v>921.375</v>
      </c>
      <c r="T47">
        <v>9</v>
      </c>
      <c r="U47">
        <v>0.25</v>
      </c>
      <c r="V47">
        <v>-172.125</v>
      </c>
      <c r="W47" s="3">
        <v>128.01</v>
      </c>
      <c r="X47" t="s">
        <v>934</v>
      </c>
    </row>
    <row r="48" spans="1:24" x14ac:dyDescent="0.25">
      <c r="A48">
        <v>23503</v>
      </c>
      <c r="B48" t="s">
        <v>2029</v>
      </c>
      <c r="C48" s="1">
        <v>42111</v>
      </c>
      <c r="D48" s="1">
        <v>42116</v>
      </c>
      <c r="E48" t="s">
        <v>19</v>
      </c>
      <c r="F48" t="s">
        <v>990</v>
      </c>
      <c r="G48" t="s">
        <v>204</v>
      </c>
      <c r="H48" t="s">
        <v>20</v>
      </c>
      <c r="I48" t="s">
        <v>906</v>
      </c>
      <c r="J48" t="s">
        <v>902</v>
      </c>
      <c r="K48" t="s">
        <v>903</v>
      </c>
      <c r="M48" t="s">
        <v>2991</v>
      </c>
      <c r="N48" t="s">
        <v>946</v>
      </c>
      <c r="O48" t="s">
        <v>2655</v>
      </c>
      <c r="P48" t="s">
        <v>27</v>
      </c>
      <c r="Q48" t="s">
        <v>939</v>
      </c>
      <c r="R48" t="s">
        <v>380</v>
      </c>
      <c r="S48">
        <v>881.68500000000006</v>
      </c>
      <c r="T48">
        <v>9</v>
      </c>
      <c r="U48">
        <v>0.25</v>
      </c>
      <c r="V48">
        <v>164.565</v>
      </c>
      <c r="W48" s="3">
        <v>102.13</v>
      </c>
      <c r="X48" t="s">
        <v>933</v>
      </c>
    </row>
    <row r="49" spans="1:24" x14ac:dyDescent="0.25">
      <c r="A49">
        <v>21283</v>
      </c>
      <c r="B49" t="s">
        <v>1893</v>
      </c>
      <c r="C49" s="1">
        <v>42540</v>
      </c>
      <c r="D49" s="1">
        <v>42543</v>
      </c>
      <c r="E49" t="s">
        <v>47</v>
      </c>
      <c r="F49" t="s">
        <v>1274</v>
      </c>
      <c r="G49" t="s">
        <v>696</v>
      </c>
      <c r="H49" t="s">
        <v>20</v>
      </c>
      <c r="I49" t="s">
        <v>906</v>
      </c>
      <c r="J49" t="s">
        <v>902</v>
      </c>
      <c r="K49" t="s">
        <v>903</v>
      </c>
      <c r="M49" t="s">
        <v>2991</v>
      </c>
      <c r="N49" t="s">
        <v>946</v>
      </c>
      <c r="O49" t="s">
        <v>2700</v>
      </c>
      <c r="P49" t="s">
        <v>22</v>
      </c>
      <c r="Q49" t="s">
        <v>935</v>
      </c>
      <c r="R49" t="s">
        <v>297</v>
      </c>
      <c r="S49">
        <v>875.16</v>
      </c>
      <c r="T49">
        <v>8</v>
      </c>
      <c r="U49">
        <v>0.45</v>
      </c>
      <c r="V49">
        <v>-493.32</v>
      </c>
      <c r="W49" s="3">
        <v>20.420000000000002</v>
      </c>
      <c r="X49" t="s">
        <v>933</v>
      </c>
    </row>
    <row r="50" spans="1:24" x14ac:dyDescent="0.25">
      <c r="A50">
        <v>25609</v>
      </c>
      <c r="B50" t="s">
        <v>2148</v>
      </c>
      <c r="C50" s="1">
        <v>41606</v>
      </c>
      <c r="D50" s="1">
        <v>41611</v>
      </c>
      <c r="E50" t="s">
        <v>19</v>
      </c>
      <c r="F50" t="s">
        <v>1347</v>
      </c>
      <c r="G50" t="s">
        <v>100</v>
      </c>
      <c r="H50" t="s">
        <v>20</v>
      </c>
      <c r="I50" t="s">
        <v>924</v>
      </c>
      <c r="J50" t="s">
        <v>911</v>
      </c>
      <c r="K50" t="s">
        <v>903</v>
      </c>
      <c r="M50" t="s">
        <v>2991</v>
      </c>
      <c r="N50" t="s">
        <v>946</v>
      </c>
      <c r="O50" t="s">
        <v>2968</v>
      </c>
      <c r="P50" t="s">
        <v>27</v>
      </c>
      <c r="Q50" t="s">
        <v>53</v>
      </c>
      <c r="R50" t="s">
        <v>871</v>
      </c>
      <c r="S50">
        <v>871.1819999999999</v>
      </c>
      <c r="T50">
        <v>4</v>
      </c>
      <c r="U50">
        <v>0.55000000000000004</v>
      </c>
      <c r="V50">
        <v>-387.25800000000004</v>
      </c>
      <c r="W50" s="3">
        <v>59.11</v>
      </c>
      <c r="X50" t="s">
        <v>933</v>
      </c>
    </row>
    <row r="51" spans="1:24" x14ac:dyDescent="0.25">
      <c r="A51">
        <v>29838</v>
      </c>
      <c r="B51" t="s">
        <v>2401</v>
      </c>
      <c r="C51" s="1">
        <v>41748</v>
      </c>
      <c r="D51" s="1">
        <v>41753</v>
      </c>
      <c r="E51" t="s">
        <v>19</v>
      </c>
      <c r="F51" t="s">
        <v>1043</v>
      </c>
      <c r="G51" t="s">
        <v>780</v>
      </c>
      <c r="H51" t="s">
        <v>20</v>
      </c>
      <c r="I51" t="s">
        <v>906</v>
      </c>
      <c r="J51" t="s">
        <v>902</v>
      </c>
      <c r="K51" t="s">
        <v>903</v>
      </c>
      <c r="M51" t="s">
        <v>2991</v>
      </c>
      <c r="N51" t="s">
        <v>946</v>
      </c>
      <c r="O51" t="s">
        <v>2540</v>
      </c>
      <c r="P51" t="s">
        <v>27</v>
      </c>
      <c r="Q51" t="s">
        <v>29</v>
      </c>
      <c r="R51" t="s">
        <v>420</v>
      </c>
      <c r="S51">
        <v>859.30649999999991</v>
      </c>
      <c r="T51">
        <v>3</v>
      </c>
      <c r="U51">
        <v>0.35</v>
      </c>
      <c r="V51">
        <v>-317.35349999999994</v>
      </c>
      <c r="W51" s="3">
        <v>69.78</v>
      </c>
      <c r="X51" t="s">
        <v>933</v>
      </c>
    </row>
    <row r="52" spans="1:24" x14ac:dyDescent="0.25">
      <c r="A52">
        <v>29829</v>
      </c>
      <c r="B52" t="s">
        <v>2399</v>
      </c>
      <c r="C52" s="1">
        <v>41616</v>
      </c>
      <c r="D52" s="1">
        <v>41620</v>
      </c>
      <c r="E52" t="s">
        <v>19</v>
      </c>
      <c r="F52" t="s">
        <v>1089</v>
      </c>
      <c r="G52" t="s">
        <v>663</v>
      </c>
      <c r="H52" t="s">
        <v>37</v>
      </c>
      <c r="I52" t="s">
        <v>906</v>
      </c>
      <c r="J52" t="s">
        <v>902</v>
      </c>
      <c r="K52" t="s">
        <v>903</v>
      </c>
      <c r="M52" t="s">
        <v>2991</v>
      </c>
      <c r="N52" t="s">
        <v>946</v>
      </c>
      <c r="O52" t="s">
        <v>2773</v>
      </c>
      <c r="P52" t="s">
        <v>27</v>
      </c>
      <c r="Q52" t="s">
        <v>29</v>
      </c>
      <c r="R52" t="s">
        <v>70</v>
      </c>
      <c r="S52">
        <v>852.8130000000001</v>
      </c>
      <c r="T52">
        <v>3</v>
      </c>
      <c r="U52">
        <v>0.35</v>
      </c>
      <c r="V52">
        <v>-170.577</v>
      </c>
      <c r="W52" s="3">
        <v>58.37</v>
      </c>
      <c r="X52" t="s">
        <v>933</v>
      </c>
    </row>
    <row r="53" spans="1:24" x14ac:dyDescent="0.25">
      <c r="A53">
        <v>26770</v>
      </c>
      <c r="B53" t="s">
        <v>2221</v>
      </c>
      <c r="C53" s="1">
        <v>42595</v>
      </c>
      <c r="D53" s="1">
        <v>42600</v>
      </c>
      <c r="E53" t="s">
        <v>19</v>
      </c>
      <c r="F53" t="s">
        <v>1469</v>
      </c>
      <c r="G53" t="s">
        <v>59</v>
      </c>
      <c r="H53" t="s">
        <v>37</v>
      </c>
      <c r="I53" t="s">
        <v>906</v>
      </c>
      <c r="J53" t="s">
        <v>902</v>
      </c>
      <c r="K53" t="s">
        <v>903</v>
      </c>
      <c r="M53" t="s">
        <v>2991</v>
      </c>
      <c r="N53" t="s">
        <v>946</v>
      </c>
      <c r="O53" t="s">
        <v>2750</v>
      </c>
      <c r="P53" t="s">
        <v>31</v>
      </c>
      <c r="Q53" t="s">
        <v>938</v>
      </c>
      <c r="R53" t="s">
        <v>693</v>
      </c>
      <c r="S53">
        <v>789.9525000000001</v>
      </c>
      <c r="T53">
        <v>9</v>
      </c>
      <c r="U53">
        <v>0.25</v>
      </c>
      <c r="V53">
        <v>-10.597500000000025</v>
      </c>
      <c r="W53" s="3">
        <v>77.14</v>
      </c>
      <c r="X53" t="s">
        <v>931</v>
      </c>
    </row>
    <row r="54" spans="1:24" x14ac:dyDescent="0.25">
      <c r="A54">
        <v>26694</v>
      </c>
      <c r="B54" t="s">
        <v>2215</v>
      </c>
      <c r="C54" s="1">
        <v>42377</v>
      </c>
      <c r="D54" s="1">
        <v>42377</v>
      </c>
      <c r="E54" t="s">
        <v>58</v>
      </c>
      <c r="F54" t="s">
        <v>1045</v>
      </c>
      <c r="G54" t="s">
        <v>570</v>
      </c>
      <c r="H54" t="s">
        <v>20</v>
      </c>
      <c r="I54" t="s">
        <v>906</v>
      </c>
      <c r="J54" t="s">
        <v>902</v>
      </c>
      <c r="K54" t="s">
        <v>903</v>
      </c>
      <c r="M54" t="s">
        <v>2991</v>
      </c>
      <c r="N54" t="s">
        <v>946</v>
      </c>
      <c r="O54" t="s">
        <v>2620</v>
      </c>
      <c r="P54" t="s">
        <v>27</v>
      </c>
      <c r="Q54" t="s">
        <v>29</v>
      </c>
      <c r="R54" t="s">
        <v>188</v>
      </c>
      <c r="S54">
        <v>769.86000000000013</v>
      </c>
      <c r="T54">
        <v>7</v>
      </c>
      <c r="U54">
        <v>0.35</v>
      </c>
      <c r="V54">
        <v>59.21999999999997</v>
      </c>
      <c r="W54" s="3">
        <v>87.47</v>
      </c>
      <c r="X54" t="s">
        <v>932</v>
      </c>
    </row>
    <row r="55" spans="1:24" x14ac:dyDescent="0.25">
      <c r="A55">
        <v>29381</v>
      </c>
      <c r="B55" t="s">
        <v>2375</v>
      </c>
      <c r="C55" s="1">
        <v>41499</v>
      </c>
      <c r="D55" s="1">
        <v>41503</v>
      </c>
      <c r="E55" t="s">
        <v>19</v>
      </c>
      <c r="F55" t="s">
        <v>1301</v>
      </c>
      <c r="G55" t="s">
        <v>261</v>
      </c>
      <c r="H55" t="s">
        <v>20</v>
      </c>
      <c r="I55" t="s">
        <v>906</v>
      </c>
      <c r="J55" t="s">
        <v>902</v>
      </c>
      <c r="K55" t="s">
        <v>903</v>
      </c>
      <c r="M55" t="s">
        <v>2991</v>
      </c>
      <c r="N55" t="s">
        <v>946</v>
      </c>
      <c r="O55" t="s">
        <v>2873</v>
      </c>
      <c r="P55" t="s">
        <v>27</v>
      </c>
      <c r="Q55" t="s">
        <v>939</v>
      </c>
      <c r="R55" t="s">
        <v>42</v>
      </c>
      <c r="S55">
        <v>769.14</v>
      </c>
      <c r="T55">
        <v>8</v>
      </c>
      <c r="U55">
        <v>0.25</v>
      </c>
      <c r="V55">
        <v>-20.699999999999989</v>
      </c>
      <c r="W55" s="3">
        <v>74.709999999999994</v>
      </c>
      <c r="X55" t="s">
        <v>931</v>
      </c>
    </row>
    <row r="56" spans="1:24" x14ac:dyDescent="0.25">
      <c r="A56">
        <v>29128</v>
      </c>
      <c r="B56" t="s">
        <v>2362</v>
      </c>
      <c r="C56" s="1">
        <v>41956</v>
      </c>
      <c r="D56" s="1">
        <v>41960</v>
      </c>
      <c r="E56" t="s">
        <v>19</v>
      </c>
      <c r="F56" t="s">
        <v>1114</v>
      </c>
      <c r="G56" t="s">
        <v>639</v>
      </c>
      <c r="H56" t="s">
        <v>20</v>
      </c>
      <c r="I56" t="s">
        <v>906</v>
      </c>
      <c r="J56" t="s">
        <v>902</v>
      </c>
      <c r="K56" t="s">
        <v>903</v>
      </c>
      <c r="M56" t="s">
        <v>2991</v>
      </c>
      <c r="N56" t="s">
        <v>946</v>
      </c>
      <c r="O56" t="s">
        <v>1820</v>
      </c>
      <c r="P56" t="s">
        <v>22</v>
      </c>
      <c r="Q56" t="s">
        <v>935</v>
      </c>
      <c r="R56" t="s">
        <v>566</v>
      </c>
      <c r="S56">
        <v>763.91700000000014</v>
      </c>
      <c r="T56">
        <v>7</v>
      </c>
      <c r="U56">
        <v>0.45</v>
      </c>
      <c r="V56">
        <v>-416.70300000000015</v>
      </c>
      <c r="W56" s="3">
        <v>75.86</v>
      </c>
      <c r="X56" t="s">
        <v>931</v>
      </c>
    </row>
    <row r="57" spans="1:24" x14ac:dyDescent="0.25">
      <c r="A57">
        <v>26094</v>
      </c>
      <c r="B57" t="s">
        <v>2174</v>
      </c>
      <c r="C57" s="1">
        <v>42498</v>
      </c>
      <c r="D57" s="1">
        <v>42504</v>
      </c>
      <c r="E57" t="s">
        <v>19</v>
      </c>
      <c r="F57" t="s">
        <v>1168</v>
      </c>
      <c r="G57" t="s">
        <v>349</v>
      </c>
      <c r="H57" t="s">
        <v>39</v>
      </c>
      <c r="I57" t="s">
        <v>906</v>
      </c>
      <c r="J57" t="s">
        <v>902</v>
      </c>
      <c r="K57" t="s">
        <v>903</v>
      </c>
      <c r="M57" t="s">
        <v>2991</v>
      </c>
      <c r="N57" t="s">
        <v>946</v>
      </c>
      <c r="O57" t="s">
        <v>2891</v>
      </c>
      <c r="P57" t="s">
        <v>27</v>
      </c>
      <c r="Q57" t="s">
        <v>939</v>
      </c>
      <c r="R57" t="s">
        <v>432</v>
      </c>
      <c r="S57">
        <v>747.63000000000022</v>
      </c>
      <c r="T57">
        <v>6</v>
      </c>
      <c r="U57">
        <v>0.25</v>
      </c>
      <c r="V57">
        <v>-159.57000000000005</v>
      </c>
      <c r="W57" s="3">
        <v>63.59</v>
      </c>
      <c r="X57" t="s">
        <v>933</v>
      </c>
    </row>
    <row r="58" spans="1:24" x14ac:dyDescent="0.25">
      <c r="A58">
        <v>24863</v>
      </c>
      <c r="B58" t="s">
        <v>2102</v>
      </c>
      <c r="C58" s="1">
        <v>42428</v>
      </c>
      <c r="D58" s="1">
        <v>42434</v>
      </c>
      <c r="E58" t="s">
        <v>19</v>
      </c>
      <c r="F58" t="s">
        <v>1062</v>
      </c>
      <c r="G58" t="s">
        <v>239</v>
      </c>
      <c r="H58" t="s">
        <v>37</v>
      </c>
      <c r="I58" t="s">
        <v>906</v>
      </c>
      <c r="J58" t="s">
        <v>902</v>
      </c>
      <c r="K58" t="s">
        <v>903</v>
      </c>
      <c r="M58" t="s">
        <v>2991</v>
      </c>
      <c r="N58" t="s">
        <v>946</v>
      </c>
      <c r="O58" t="s">
        <v>2740</v>
      </c>
      <c r="P58" t="s">
        <v>31</v>
      </c>
      <c r="Q58" t="s">
        <v>943</v>
      </c>
      <c r="R58" t="s">
        <v>480</v>
      </c>
      <c r="S58">
        <v>743.02800000000013</v>
      </c>
      <c r="T58">
        <v>8</v>
      </c>
      <c r="U58">
        <v>0.35</v>
      </c>
      <c r="V58">
        <v>-114.49200000000002</v>
      </c>
      <c r="W58" s="3">
        <v>55.15</v>
      </c>
      <c r="X58" t="s">
        <v>933</v>
      </c>
    </row>
    <row r="59" spans="1:24" x14ac:dyDescent="0.25">
      <c r="A59">
        <v>22558</v>
      </c>
      <c r="B59" t="s">
        <v>1969</v>
      </c>
      <c r="C59" s="1">
        <v>42585</v>
      </c>
      <c r="D59" s="1">
        <v>42589</v>
      </c>
      <c r="E59" t="s">
        <v>19</v>
      </c>
      <c r="F59" t="s">
        <v>1191</v>
      </c>
      <c r="G59" t="s">
        <v>339</v>
      </c>
      <c r="H59" t="s">
        <v>39</v>
      </c>
      <c r="I59" t="s">
        <v>906</v>
      </c>
      <c r="J59" t="s">
        <v>902</v>
      </c>
      <c r="K59" t="s">
        <v>903</v>
      </c>
      <c r="M59" t="s">
        <v>2991</v>
      </c>
      <c r="N59" t="s">
        <v>946</v>
      </c>
      <c r="O59" t="s">
        <v>2520</v>
      </c>
      <c r="P59" t="s">
        <v>31</v>
      </c>
      <c r="Q59" t="s">
        <v>943</v>
      </c>
      <c r="R59" t="s">
        <v>830</v>
      </c>
      <c r="S59">
        <v>740.66849999999999</v>
      </c>
      <c r="T59">
        <v>3</v>
      </c>
      <c r="U59">
        <v>0.35</v>
      </c>
      <c r="V59">
        <v>68.368499999999983</v>
      </c>
      <c r="W59" s="3">
        <v>13.01</v>
      </c>
      <c r="X59" t="s">
        <v>933</v>
      </c>
    </row>
    <row r="60" spans="1:24" x14ac:dyDescent="0.25">
      <c r="A60">
        <v>22698</v>
      </c>
      <c r="B60" t="s">
        <v>1978</v>
      </c>
      <c r="C60" s="1">
        <v>41382</v>
      </c>
      <c r="D60" s="1">
        <v>41386</v>
      </c>
      <c r="E60" t="s">
        <v>19</v>
      </c>
      <c r="F60" t="s">
        <v>1253</v>
      </c>
      <c r="G60" t="s">
        <v>669</v>
      </c>
      <c r="H60" t="s">
        <v>39</v>
      </c>
      <c r="I60" t="s">
        <v>906</v>
      </c>
      <c r="J60" t="s">
        <v>902</v>
      </c>
      <c r="K60" t="s">
        <v>903</v>
      </c>
      <c r="M60" t="s">
        <v>2991</v>
      </c>
      <c r="N60" t="s">
        <v>946</v>
      </c>
      <c r="O60" t="s">
        <v>2858</v>
      </c>
      <c r="P60" t="s">
        <v>27</v>
      </c>
      <c r="Q60" t="s">
        <v>936</v>
      </c>
      <c r="R60" t="s">
        <v>656</v>
      </c>
      <c r="S60">
        <v>730.01250000000005</v>
      </c>
      <c r="T60">
        <v>9</v>
      </c>
      <c r="U60">
        <v>0.25</v>
      </c>
      <c r="V60">
        <v>-38.947499999999991</v>
      </c>
      <c r="W60" s="3">
        <v>57.02</v>
      </c>
      <c r="X60" t="s">
        <v>931</v>
      </c>
    </row>
    <row r="61" spans="1:24" x14ac:dyDescent="0.25">
      <c r="A61">
        <v>27852</v>
      </c>
      <c r="B61" t="s">
        <v>2294</v>
      </c>
      <c r="C61" s="1">
        <v>42013</v>
      </c>
      <c r="D61" s="1">
        <v>42016</v>
      </c>
      <c r="E61" t="s">
        <v>47</v>
      </c>
      <c r="F61" t="s">
        <v>1020</v>
      </c>
      <c r="G61" t="s">
        <v>763</v>
      </c>
      <c r="H61" t="s">
        <v>20</v>
      </c>
      <c r="I61" t="s">
        <v>912</v>
      </c>
      <c r="J61" t="s">
        <v>913</v>
      </c>
      <c r="K61" t="s">
        <v>903</v>
      </c>
      <c r="M61" t="s">
        <v>2991</v>
      </c>
      <c r="N61" t="s">
        <v>946</v>
      </c>
      <c r="O61" t="s">
        <v>2966</v>
      </c>
      <c r="P61" t="s">
        <v>27</v>
      </c>
      <c r="Q61" t="s">
        <v>53</v>
      </c>
      <c r="R61" t="s">
        <v>238</v>
      </c>
      <c r="S61">
        <v>727.05599999999981</v>
      </c>
      <c r="T61">
        <v>6</v>
      </c>
      <c r="U61">
        <v>0.55000000000000004</v>
      </c>
      <c r="V61">
        <v>-387.86399999999986</v>
      </c>
      <c r="W61" s="3">
        <v>96.29</v>
      </c>
      <c r="X61" t="s">
        <v>933</v>
      </c>
    </row>
    <row r="62" spans="1:24" x14ac:dyDescent="0.25">
      <c r="A62">
        <v>26771</v>
      </c>
      <c r="B62" t="s">
        <v>2221</v>
      </c>
      <c r="C62" s="1">
        <v>42595</v>
      </c>
      <c r="D62" s="1">
        <v>42600</v>
      </c>
      <c r="E62" t="s">
        <v>19</v>
      </c>
      <c r="F62" t="s">
        <v>1469</v>
      </c>
      <c r="G62" t="s">
        <v>59</v>
      </c>
      <c r="H62" t="s">
        <v>37</v>
      </c>
      <c r="I62" t="s">
        <v>906</v>
      </c>
      <c r="J62" t="s">
        <v>902</v>
      </c>
      <c r="K62" t="s">
        <v>903</v>
      </c>
      <c r="M62" t="s">
        <v>2991</v>
      </c>
      <c r="N62" t="s">
        <v>946</v>
      </c>
      <c r="O62" t="s">
        <v>2888</v>
      </c>
      <c r="P62" t="s">
        <v>27</v>
      </c>
      <c r="Q62" t="s">
        <v>29</v>
      </c>
      <c r="R62" t="s">
        <v>156</v>
      </c>
      <c r="S62">
        <v>725.3415</v>
      </c>
      <c r="T62">
        <v>9</v>
      </c>
      <c r="U62">
        <v>0.35</v>
      </c>
      <c r="V62">
        <v>122.70150000000001</v>
      </c>
      <c r="W62" s="3">
        <v>64</v>
      </c>
      <c r="X62" t="s">
        <v>931</v>
      </c>
    </row>
    <row r="63" spans="1:24" x14ac:dyDescent="0.25">
      <c r="A63">
        <v>28716</v>
      </c>
      <c r="B63" t="s">
        <v>2338</v>
      </c>
      <c r="C63" s="1">
        <v>42598</v>
      </c>
      <c r="D63" s="1">
        <v>42601</v>
      </c>
      <c r="E63" t="s">
        <v>43</v>
      </c>
      <c r="F63" t="s">
        <v>1114</v>
      </c>
      <c r="G63" t="s">
        <v>639</v>
      </c>
      <c r="H63" t="s">
        <v>20</v>
      </c>
      <c r="I63" t="s">
        <v>906</v>
      </c>
      <c r="J63" t="s">
        <v>902</v>
      </c>
      <c r="K63" t="s">
        <v>903</v>
      </c>
      <c r="M63" t="s">
        <v>2991</v>
      </c>
      <c r="N63" t="s">
        <v>946</v>
      </c>
      <c r="O63" t="s">
        <v>2926</v>
      </c>
      <c r="P63" t="s">
        <v>27</v>
      </c>
      <c r="Q63" t="s">
        <v>53</v>
      </c>
      <c r="R63" t="s">
        <v>535</v>
      </c>
      <c r="S63">
        <v>719.48249999999985</v>
      </c>
      <c r="T63">
        <v>5</v>
      </c>
      <c r="U63">
        <v>0.55000000000000004</v>
      </c>
      <c r="V63">
        <v>-143.91750000000002</v>
      </c>
      <c r="W63" s="3">
        <v>61.48</v>
      </c>
      <c r="X63" t="s">
        <v>933</v>
      </c>
    </row>
    <row r="64" spans="1:24" x14ac:dyDescent="0.25">
      <c r="A64">
        <v>23182</v>
      </c>
      <c r="B64" t="s">
        <v>2012</v>
      </c>
      <c r="C64" s="1">
        <v>42404</v>
      </c>
      <c r="D64" s="1">
        <v>42407</v>
      </c>
      <c r="E64" t="s">
        <v>47</v>
      </c>
      <c r="F64" t="s">
        <v>1364</v>
      </c>
      <c r="G64" t="s">
        <v>186</v>
      </c>
      <c r="H64" t="s">
        <v>39</v>
      </c>
      <c r="I64" t="s">
        <v>906</v>
      </c>
      <c r="J64" t="s">
        <v>902</v>
      </c>
      <c r="K64" t="s">
        <v>903</v>
      </c>
      <c r="M64" t="s">
        <v>2991</v>
      </c>
      <c r="N64" t="s">
        <v>946</v>
      </c>
      <c r="O64" t="s">
        <v>2613</v>
      </c>
      <c r="P64" t="s">
        <v>27</v>
      </c>
      <c r="Q64" t="s">
        <v>939</v>
      </c>
      <c r="R64" t="s">
        <v>277</v>
      </c>
      <c r="S64">
        <v>714.15</v>
      </c>
      <c r="T64">
        <v>2</v>
      </c>
      <c r="U64">
        <v>0.25</v>
      </c>
      <c r="V64">
        <v>-28.590000000000003</v>
      </c>
      <c r="W64" s="3">
        <v>175.43</v>
      </c>
      <c r="X64" t="s">
        <v>933</v>
      </c>
    </row>
    <row r="65" spans="1:24" x14ac:dyDescent="0.25">
      <c r="A65">
        <v>29135</v>
      </c>
      <c r="B65" t="s">
        <v>2363</v>
      </c>
      <c r="C65" s="1">
        <v>42120</v>
      </c>
      <c r="D65" s="1">
        <v>42127</v>
      </c>
      <c r="E65" t="s">
        <v>19</v>
      </c>
      <c r="F65" t="s">
        <v>1268</v>
      </c>
      <c r="G65" t="s">
        <v>314</v>
      </c>
      <c r="H65" t="s">
        <v>20</v>
      </c>
      <c r="I65" t="s">
        <v>912</v>
      </c>
      <c r="J65" t="s">
        <v>913</v>
      </c>
      <c r="K65" t="s">
        <v>903</v>
      </c>
      <c r="M65" t="s">
        <v>2991</v>
      </c>
      <c r="N65" t="s">
        <v>946</v>
      </c>
      <c r="O65" t="s">
        <v>2558</v>
      </c>
      <c r="P65" t="s">
        <v>27</v>
      </c>
      <c r="Q65" t="s">
        <v>29</v>
      </c>
      <c r="R65" t="s">
        <v>83</v>
      </c>
      <c r="S65">
        <v>709.3125</v>
      </c>
      <c r="T65">
        <v>3</v>
      </c>
      <c r="U65">
        <v>0.35</v>
      </c>
      <c r="V65">
        <v>-185.55749999999992</v>
      </c>
      <c r="W65" s="3">
        <v>90.43</v>
      </c>
      <c r="X65" t="s">
        <v>934</v>
      </c>
    </row>
    <row r="66" spans="1:24" x14ac:dyDescent="0.25">
      <c r="A66">
        <v>28594</v>
      </c>
      <c r="B66" t="s">
        <v>2333</v>
      </c>
      <c r="C66" s="1">
        <v>42666</v>
      </c>
      <c r="D66" s="1">
        <v>42671</v>
      </c>
      <c r="E66" t="s">
        <v>19</v>
      </c>
      <c r="F66" t="s">
        <v>1415</v>
      </c>
      <c r="G66" t="s">
        <v>413</v>
      </c>
      <c r="H66" t="s">
        <v>39</v>
      </c>
      <c r="I66" t="s">
        <v>909</v>
      </c>
      <c r="J66" t="s">
        <v>902</v>
      </c>
      <c r="K66" t="s">
        <v>903</v>
      </c>
      <c r="M66" t="s">
        <v>2991</v>
      </c>
      <c r="N66" t="s">
        <v>946</v>
      </c>
      <c r="O66" t="s">
        <v>2868</v>
      </c>
      <c r="P66" t="s">
        <v>31</v>
      </c>
      <c r="Q66" t="s">
        <v>938</v>
      </c>
      <c r="R66" t="s">
        <v>900</v>
      </c>
      <c r="S66">
        <v>701.66250000000002</v>
      </c>
      <c r="T66">
        <v>3</v>
      </c>
      <c r="U66">
        <v>0.25</v>
      </c>
      <c r="V66">
        <v>177.68249999999998</v>
      </c>
      <c r="W66" s="3">
        <v>51.41</v>
      </c>
      <c r="X66" t="s">
        <v>933</v>
      </c>
    </row>
    <row r="67" spans="1:24" x14ac:dyDescent="0.25">
      <c r="A67">
        <v>26693</v>
      </c>
      <c r="B67" t="s">
        <v>2215</v>
      </c>
      <c r="C67" s="1">
        <v>42377</v>
      </c>
      <c r="D67" s="1">
        <v>42377</v>
      </c>
      <c r="E67" t="s">
        <v>58</v>
      </c>
      <c r="F67" t="s">
        <v>1045</v>
      </c>
      <c r="G67" t="s">
        <v>570</v>
      </c>
      <c r="H67" t="s">
        <v>20</v>
      </c>
      <c r="I67" t="s">
        <v>906</v>
      </c>
      <c r="J67" t="s">
        <v>902</v>
      </c>
      <c r="K67" t="s">
        <v>903</v>
      </c>
      <c r="M67" t="s">
        <v>2991</v>
      </c>
      <c r="N67" t="s">
        <v>946</v>
      </c>
      <c r="O67" t="s">
        <v>2877</v>
      </c>
      <c r="P67" t="s">
        <v>31</v>
      </c>
      <c r="Q67" t="s">
        <v>943</v>
      </c>
      <c r="R67" t="s">
        <v>552</v>
      </c>
      <c r="S67">
        <v>698.89949999999999</v>
      </c>
      <c r="T67">
        <v>3</v>
      </c>
      <c r="U67">
        <v>0.35</v>
      </c>
      <c r="V67">
        <v>-32.260499999999979</v>
      </c>
      <c r="W67" s="3">
        <v>140.77000000000001</v>
      </c>
      <c r="X67" t="s">
        <v>932</v>
      </c>
    </row>
    <row r="68" spans="1:24" x14ac:dyDescent="0.25">
      <c r="A68">
        <v>24547</v>
      </c>
      <c r="B68" t="s">
        <v>2085</v>
      </c>
      <c r="C68" s="1">
        <v>41950</v>
      </c>
      <c r="D68" s="1">
        <v>41954</v>
      </c>
      <c r="E68" t="s">
        <v>19</v>
      </c>
      <c r="F68" t="s">
        <v>972</v>
      </c>
      <c r="G68" t="s">
        <v>678</v>
      </c>
      <c r="H68" t="s">
        <v>39</v>
      </c>
      <c r="I68" t="s">
        <v>906</v>
      </c>
      <c r="J68" t="s">
        <v>902</v>
      </c>
      <c r="K68" t="s">
        <v>903</v>
      </c>
      <c r="M68" t="s">
        <v>2991</v>
      </c>
      <c r="N68" t="s">
        <v>946</v>
      </c>
      <c r="O68" t="s">
        <v>2512</v>
      </c>
      <c r="P68" t="s">
        <v>27</v>
      </c>
      <c r="Q68" t="s">
        <v>939</v>
      </c>
      <c r="R68" t="s">
        <v>245</v>
      </c>
      <c r="S68">
        <v>697.49999999999977</v>
      </c>
      <c r="T68">
        <v>2</v>
      </c>
      <c r="U68">
        <v>0.25</v>
      </c>
      <c r="V68">
        <v>-74.39999999999992</v>
      </c>
      <c r="W68" s="3">
        <v>72.709999999999994</v>
      </c>
      <c r="X68" t="s">
        <v>933</v>
      </c>
    </row>
    <row r="69" spans="1:24" x14ac:dyDescent="0.25">
      <c r="A69">
        <v>28175</v>
      </c>
      <c r="B69" t="s">
        <v>2310</v>
      </c>
      <c r="C69" s="1">
        <v>41285</v>
      </c>
      <c r="D69" s="1">
        <v>41290</v>
      </c>
      <c r="E69" t="s">
        <v>19</v>
      </c>
      <c r="F69" t="s">
        <v>1269</v>
      </c>
      <c r="G69" t="s">
        <v>95</v>
      </c>
      <c r="H69" t="s">
        <v>37</v>
      </c>
      <c r="I69" t="s">
        <v>920</v>
      </c>
      <c r="J69" t="s">
        <v>911</v>
      </c>
      <c r="K69" t="s">
        <v>903</v>
      </c>
      <c r="M69" t="s">
        <v>2991</v>
      </c>
      <c r="N69" t="s">
        <v>946</v>
      </c>
      <c r="O69" t="s">
        <v>2734</v>
      </c>
      <c r="P69" t="s">
        <v>31</v>
      </c>
      <c r="Q69" t="s">
        <v>943</v>
      </c>
      <c r="R69" t="s">
        <v>729</v>
      </c>
      <c r="S69">
        <v>696.85199999999998</v>
      </c>
      <c r="T69">
        <v>3</v>
      </c>
      <c r="U69">
        <v>0.35</v>
      </c>
      <c r="V69">
        <v>-343.09799999999996</v>
      </c>
      <c r="W69" s="3">
        <v>40.159999999999997</v>
      </c>
      <c r="X69" t="s">
        <v>933</v>
      </c>
    </row>
    <row r="70" spans="1:24" x14ac:dyDescent="0.25">
      <c r="A70">
        <v>28880</v>
      </c>
      <c r="B70" t="s">
        <v>2348</v>
      </c>
      <c r="C70" s="1">
        <v>42615</v>
      </c>
      <c r="D70" s="1">
        <v>42617</v>
      </c>
      <c r="E70" t="s">
        <v>43</v>
      </c>
      <c r="F70" t="s">
        <v>1228</v>
      </c>
      <c r="G70" t="s">
        <v>508</v>
      </c>
      <c r="H70" t="s">
        <v>39</v>
      </c>
      <c r="I70" t="s">
        <v>906</v>
      </c>
      <c r="J70" t="s">
        <v>902</v>
      </c>
      <c r="K70" t="s">
        <v>903</v>
      </c>
      <c r="M70" t="s">
        <v>2991</v>
      </c>
      <c r="N70" t="s">
        <v>946</v>
      </c>
      <c r="O70" t="s">
        <v>2766</v>
      </c>
      <c r="P70" t="s">
        <v>27</v>
      </c>
      <c r="Q70" t="s">
        <v>939</v>
      </c>
      <c r="R70" t="s">
        <v>472</v>
      </c>
      <c r="S70">
        <v>695.87999999999988</v>
      </c>
      <c r="T70">
        <v>2</v>
      </c>
      <c r="U70">
        <v>0.25</v>
      </c>
      <c r="V70">
        <v>-167.03999999999996</v>
      </c>
      <c r="W70" s="3">
        <v>59.77</v>
      </c>
      <c r="X70" t="s">
        <v>932</v>
      </c>
    </row>
    <row r="71" spans="1:24" x14ac:dyDescent="0.25">
      <c r="A71">
        <v>23101</v>
      </c>
      <c r="B71" t="s">
        <v>2005</v>
      </c>
      <c r="C71" s="1">
        <v>41363</v>
      </c>
      <c r="D71" s="1">
        <v>41367</v>
      </c>
      <c r="E71" t="s">
        <v>19</v>
      </c>
      <c r="F71" t="s">
        <v>1230</v>
      </c>
      <c r="G71" t="s">
        <v>382</v>
      </c>
      <c r="H71" t="s">
        <v>20</v>
      </c>
      <c r="I71" t="s">
        <v>906</v>
      </c>
      <c r="J71" t="s">
        <v>902</v>
      </c>
      <c r="K71" t="s">
        <v>903</v>
      </c>
      <c r="M71" t="s">
        <v>2991</v>
      </c>
      <c r="N71" t="s">
        <v>946</v>
      </c>
      <c r="O71" t="s">
        <v>2766</v>
      </c>
      <c r="P71" t="s">
        <v>27</v>
      </c>
      <c r="Q71" t="s">
        <v>939</v>
      </c>
      <c r="R71" t="s">
        <v>472</v>
      </c>
      <c r="S71">
        <v>695.87999999999988</v>
      </c>
      <c r="T71">
        <v>2</v>
      </c>
      <c r="U71">
        <v>0.25</v>
      </c>
      <c r="V71">
        <v>-167.03999999999996</v>
      </c>
      <c r="W71" s="3">
        <v>50.9</v>
      </c>
      <c r="X71" t="s">
        <v>933</v>
      </c>
    </row>
    <row r="72" spans="1:24" x14ac:dyDescent="0.25">
      <c r="A72">
        <v>27797</v>
      </c>
      <c r="B72" t="s">
        <v>2290</v>
      </c>
      <c r="C72" s="1">
        <v>42532</v>
      </c>
      <c r="D72" s="1">
        <v>42536</v>
      </c>
      <c r="E72" t="s">
        <v>19</v>
      </c>
      <c r="F72" t="s">
        <v>1018</v>
      </c>
      <c r="G72" t="s">
        <v>381</v>
      </c>
      <c r="H72" t="s">
        <v>39</v>
      </c>
      <c r="I72" t="s">
        <v>906</v>
      </c>
      <c r="J72" t="s">
        <v>902</v>
      </c>
      <c r="K72" t="s">
        <v>903</v>
      </c>
      <c r="M72" t="s">
        <v>2991</v>
      </c>
      <c r="N72" t="s">
        <v>946</v>
      </c>
      <c r="O72" t="s">
        <v>2655</v>
      </c>
      <c r="P72" t="s">
        <v>27</v>
      </c>
      <c r="Q72" t="s">
        <v>939</v>
      </c>
      <c r="R72" t="s">
        <v>380</v>
      </c>
      <c r="S72">
        <v>685.755</v>
      </c>
      <c r="T72">
        <v>7</v>
      </c>
      <c r="U72">
        <v>0.25</v>
      </c>
      <c r="V72">
        <v>127.99499999999998</v>
      </c>
      <c r="W72" s="3">
        <v>39.6</v>
      </c>
      <c r="X72" t="s">
        <v>933</v>
      </c>
    </row>
    <row r="73" spans="1:24" x14ac:dyDescent="0.25">
      <c r="A73">
        <v>20311</v>
      </c>
      <c r="B73" t="s">
        <v>1843</v>
      </c>
      <c r="C73" s="1">
        <v>42534</v>
      </c>
      <c r="D73" s="1">
        <v>42538</v>
      </c>
      <c r="E73" t="s">
        <v>19</v>
      </c>
      <c r="F73" t="s">
        <v>960</v>
      </c>
      <c r="G73" t="s">
        <v>549</v>
      </c>
      <c r="H73" t="s">
        <v>20</v>
      </c>
      <c r="I73" t="s">
        <v>220</v>
      </c>
      <c r="J73" t="s">
        <v>919</v>
      </c>
      <c r="K73" t="s">
        <v>903</v>
      </c>
      <c r="M73" t="s">
        <v>2991</v>
      </c>
      <c r="N73" t="s">
        <v>946</v>
      </c>
      <c r="O73" t="s">
        <v>2456</v>
      </c>
      <c r="P73" t="s">
        <v>31</v>
      </c>
      <c r="Q73" t="s">
        <v>943</v>
      </c>
      <c r="R73" t="s">
        <v>699</v>
      </c>
      <c r="S73">
        <v>684.60599999999999</v>
      </c>
      <c r="T73">
        <v>4</v>
      </c>
      <c r="U73">
        <v>0.35</v>
      </c>
      <c r="V73">
        <v>-63.23399999999998</v>
      </c>
      <c r="W73" s="3">
        <v>65.010000000000005</v>
      </c>
      <c r="X73" t="s">
        <v>933</v>
      </c>
    </row>
    <row r="74" spans="1:24" x14ac:dyDescent="0.25">
      <c r="A74">
        <v>28570</v>
      </c>
      <c r="B74" t="s">
        <v>2329</v>
      </c>
      <c r="C74" s="1">
        <v>42735</v>
      </c>
      <c r="D74" s="1">
        <v>42008</v>
      </c>
      <c r="E74" t="s">
        <v>19</v>
      </c>
      <c r="F74" t="s">
        <v>1183</v>
      </c>
      <c r="G74" t="s">
        <v>459</v>
      </c>
      <c r="H74" t="s">
        <v>39</v>
      </c>
      <c r="I74" t="s">
        <v>906</v>
      </c>
      <c r="J74" t="s">
        <v>902</v>
      </c>
      <c r="K74" t="s">
        <v>903</v>
      </c>
      <c r="M74" t="s">
        <v>2991</v>
      </c>
      <c r="N74" t="s">
        <v>946</v>
      </c>
      <c r="O74" t="s">
        <v>2456</v>
      </c>
      <c r="P74" t="s">
        <v>31</v>
      </c>
      <c r="Q74" t="s">
        <v>943</v>
      </c>
      <c r="R74" t="s">
        <v>699</v>
      </c>
      <c r="S74">
        <v>684.60599999999999</v>
      </c>
      <c r="T74">
        <v>4</v>
      </c>
      <c r="U74">
        <v>0.35</v>
      </c>
      <c r="V74">
        <v>-63.23399999999998</v>
      </c>
      <c r="W74" s="3">
        <v>42.92</v>
      </c>
      <c r="X74" t="s">
        <v>933</v>
      </c>
    </row>
    <row r="75" spans="1:24" x14ac:dyDescent="0.25">
      <c r="A75">
        <v>29342</v>
      </c>
      <c r="B75" t="s">
        <v>2372</v>
      </c>
      <c r="C75" s="1">
        <v>42310</v>
      </c>
      <c r="D75" s="1">
        <v>42316</v>
      </c>
      <c r="E75" t="s">
        <v>19</v>
      </c>
      <c r="F75" t="s">
        <v>1323</v>
      </c>
      <c r="G75" t="s">
        <v>160</v>
      </c>
      <c r="H75" t="s">
        <v>20</v>
      </c>
      <c r="I75" t="s">
        <v>906</v>
      </c>
      <c r="J75" t="s">
        <v>902</v>
      </c>
      <c r="K75" t="s">
        <v>903</v>
      </c>
      <c r="M75" t="s">
        <v>2991</v>
      </c>
      <c r="N75" t="s">
        <v>946</v>
      </c>
      <c r="O75" t="s">
        <v>2469</v>
      </c>
      <c r="P75" t="s">
        <v>27</v>
      </c>
      <c r="Q75" t="s">
        <v>939</v>
      </c>
      <c r="R75" t="s">
        <v>517</v>
      </c>
      <c r="S75">
        <v>661.90499999999986</v>
      </c>
      <c r="T75">
        <v>6</v>
      </c>
      <c r="U75">
        <v>0.25</v>
      </c>
      <c r="V75">
        <v>8.6850000000000307</v>
      </c>
      <c r="W75" s="3">
        <v>100.71</v>
      </c>
      <c r="X75" t="s">
        <v>934</v>
      </c>
    </row>
    <row r="76" spans="1:24" x14ac:dyDescent="0.25">
      <c r="A76">
        <v>26605</v>
      </c>
      <c r="B76" t="s">
        <v>2210</v>
      </c>
      <c r="C76" s="1">
        <v>42520</v>
      </c>
      <c r="D76" s="1">
        <v>42525</v>
      </c>
      <c r="E76" t="s">
        <v>19</v>
      </c>
      <c r="F76" t="s">
        <v>1234</v>
      </c>
      <c r="G76" t="s">
        <v>137</v>
      </c>
      <c r="H76" t="s">
        <v>39</v>
      </c>
      <c r="I76" t="s">
        <v>906</v>
      </c>
      <c r="J76" t="s">
        <v>902</v>
      </c>
      <c r="K76" t="s">
        <v>903</v>
      </c>
      <c r="M76" t="s">
        <v>2991</v>
      </c>
      <c r="N76" t="s">
        <v>946</v>
      </c>
      <c r="O76" t="s">
        <v>2965</v>
      </c>
      <c r="P76" t="s">
        <v>31</v>
      </c>
      <c r="Q76" t="s">
        <v>938</v>
      </c>
      <c r="R76" t="s">
        <v>878</v>
      </c>
      <c r="S76">
        <v>659.36249999999995</v>
      </c>
      <c r="T76">
        <v>5</v>
      </c>
      <c r="U76">
        <v>0.25</v>
      </c>
      <c r="V76">
        <v>-184.68749999999997</v>
      </c>
      <c r="W76" s="3">
        <v>77.66</v>
      </c>
      <c r="X76" t="s">
        <v>933</v>
      </c>
    </row>
    <row r="77" spans="1:24" x14ac:dyDescent="0.25">
      <c r="A77">
        <v>26257</v>
      </c>
      <c r="B77" t="s">
        <v>2187</v>
      </c>
      <c r="C77" s="1">
        <v>42614</v>
      </c>
      <c r="D77" s="1">
        <v>42618</v>
      </c>
      <c r="E77" t="s">
        <v>19</v>
      </c>
      <c r="F77" t="s">
        <v>1055</v>
      </c>
      <c r="G77" t="s">
        <v>133</v>
      </c>
      <c r="H77" t="s">
        <v>20</v>
      </c>
      <c r="I77" t="s">
        <v>906</v>
      </c>
      <c r="J77" t="s">
        <v>902</v>
      </c>
      <c r="K77" t="s">
        <v>903</v>
      </c>
      <c r="M77" t="s">
        <v>2991</v>
      </c>
      <c r="N77" t="s">
        <v>946</v>
      </c>
      <c r="O77" t="s">
        <v>2523</v>
      </c>
      <c r="P77" t="s">
        <v>22</v>
      </c>
      <c r="Q77" t="s">
        <v>935</v>
      </c>
      <c r="R77" t="s">
        <v>300</v>
      </c>
      <c r="S77">
        <v>650.03399999999999</v>
      </c>
      <c r="T77">
        <v>6</v>
      </c>
      <c r="U77">
        <v>0.45</v>
      </c>
      <c r="V77">
        <v>-23.706000000000017</v>
      </c>
      <c r="W77" s="3">
        <v>31.76</v>
      </c>
      <c r="X77" t="s">
        <v>933</v>
      </c>
    </row>
    <row r="78" spans="1:24" x14ac:dyDescent="0.25">
      <c r="A78">
        <v>24817</v>
      </c>
      <c r="B78" t="s">
        <v>2100</v>
      </c>
      <c r="C78" s="1">
        <v>42067</v>
      </c>
      <c r="D78" s="1">
        <v>42072</v>
      </c>
      <c r="E78" t="s">
        <v>43</v>
      </c>
      <c r="F78" t="s">
        <v>1157</v>
      </c>
      <c r="G78" t="s">
        <v>725</v>
      </c>
      <c r="H78" t="s">
        <v>20</v>
      </c>
      <c r="I78" t="s">
        <v>906</v>
      </c>
      <c r="J78" t="s">
        <v>902</v>
      </c>
      <c r="K78" t="s">
        <v>903</v>
      </c>
      <c r="M78" t="s">
        <v>2991</v>
      </c>
      <c r="N78" t="s">
        <v>946</v>
      </c>
      <c r="O78" t="s">
        <v>2950</v>
      </c>
      <c r="P78" t="s">
        <v>31</v>
      </c>
      <c r="Q78" t="s">
        <v>944</v>
      </c>
      <c r="R78" t="s">
        <v>241</v>
      </c>
      <c r="S78">
        <v>646.53750000000002</v>
      </c>
      <c r="T78">
        <v>7</v>
      </c>
      <c r="U78">
        <v>0.25</v>
      </c>
      <c r="V78">
        <v>-17.27249999999998</v>
      </c>
      <c r="W78" s="3">
        <v>67.989999999999995</v>
      </c>
      <c r="X78" t="s">
        <v>933</v>
      </c>
    </row>
    <row r="79" spans="1:24" x14ac:dyDescent="0.25">
      <c r="A79">
        <v>21066</v>
      </c>
      <c r="B79" t="s">
        <v>1880</v>
      </c>
      <c r="C79" s="1">
        <v>42352</v>
      </c>
      <c r="D79" s="1">
        <v>42357</v>
      </c>
      <c r="E79" t="s">
        <v>19</v>
      </c>
      <c r="F79" t="s">
        <v>1264</v>
      </c>
      <c r="G79" t="s">
        <v>136</v>
      </c>
      <c r="H79" t="s">
        <v>39</v>
      </c>
      <c r="I79" t="s">
        <v>906</v>
      </c>
      <c r="J79" t="s">
        <v>902</v>
      </c>
      <c r="K79" t="s">
        <v>903</v>
      </c>
      <c r="M79" t="s">
        <v>2991</v>
      </c>
      <c r="N79" t="s">
        <v>946</v>
      </c>
      <c r="O79" t="s">
        <v>2663</v>
      </c>
      <c r="P79" t="s">
        <v>31</v>
      </c>
      <c r="Q79" t="s">
        <v>943</v>
      </c>
      <c r="R79" t="s">
        <v>852</v>
      </c>
      <c r="S79">
        <v>636.94799999999998</v>
      </c>
      <c r="T79">
        <v>8</v>
      </c>
      <c r="U79">
        <v>0.35</v>
      </c>
      <c r="V79">
        <v>-333.37199999999996</v>
      </c>
      <c r="W79" s="3">
        <v>32.1</v>
      </c>
      <c r="X79" t="s">
        <v>933</v>
      </c>
    </row>
    <row r="80" spans="1:24" x14ac:dyDescent="0.25">
      <c r="A80">
        <v>23547</v>
      </c>
      <c r="B80" t="s">
        <v>2033</v>
      </c>
      <c r="C80" s="1">
        <v>41874</v>
      </c>
      <c r="D80" s="1">
        <v>41877</v>
      </c>
      <c r="E80" t="s">
        <v>43</v>
      </c>
      <c r="F80" t="s">
        <v>1166</v>
      </c>
      <c r="G80" t="s">
        <v>102</v>
      </c>
      <c r="H80" t="s">
        <v>37</v>
      </c>
      <c r="I80" t="s">
        <v>906</v>
      </c>
      <c r="J80" t="s">
        <v>902</v>
      </c>
      <c r="K80" t="s">
        <v>903</v>
      </c>
      <c r="M80" t="s">
        <v>2991</v>
      </c>
      <c r="N80" t="s">
        <v>946</v>
      </c>
      <c r="O80" t="s">
        <v>2908</v>
      </c>
      <c r="P80" t="s">
        <v>27</v>
      </c>
      <c r="Q80" t="s">
        <v>53</v>
      </c>
      <c r="R80" t="s">
        <v>869</v>
      </c>
      <c r="S80">
        <v>630.58500000000004</v>
      </c>
      <c r="T80">
        <v>3</v>
      </c>
      <c r="U80">
        <v>0.55000000000000004</v>
      </c>
      <c r="V80">
        <v>-140.17500000000018</v>
      </c>
      <c r="W80" s="3">
        <v>50.62</v>
      </c>
      <c r="X80" t="s">
        <v>931</v>
      </c>
    </row>
    <row r="81" spans="1:24" x14ac:dyDescent="0.25">
      <c r="A81">
        <v>22346</v>
      </c>
      <c r="B81" t="s">
        <v>1953</v>
      </c>
      <c r="C81" s="1">
        <v>42622</v>
      </c>
      <c r="D81" s="1">
        <v>42627</v>
      </c>
      <c r="E81" t="s">
        <v>19</v>
      </c>
      <c r="F81" t="s">
        <v>1275</v>
      </c>
      <c r="G81" t="s">
        <v>652</v>
      </c>
      <c r="H81" t="s">
        <v>39</v>
      </c>
      <c r="I81" t="s">
        <v>906</v>
      </c>
      <c r="J81" t="s">
        <v>902</v>
      </c>
      <c r="K81" t="s">
        <v>903</v>
      </c>
      <c r="M81" t="s">
        <v>2991</v>
      </c>
      <c r="N81" t="s">
        <v>946</v>
      </c>
      <c r="O81" t="s">
        <v>2827</v>
      </c>
      <c r="P81" t="s">
        <v>31</v>
      </c>
      <c r="Q81" t="s">
        <v>938</v>
      </c>
      <c r="R81" t="s">
        <v>868</v>
      </c>
      <c r="S81">
        <v>626.62500000000011</v>
      </c>
      <c r="T81">
        <v>5</v>
      </c>
      <c r="U81">
        <v>0.25</v>
      </c>
      <c r="V81">
        <v>91.874999999999972</v>
      </c>
      <c r="W81" s="3">
        <v>54.85</v>
      </c>
      <c r="X81" t="s">
        <v>933</v>
      </c>
    </row>
    <row r="82" spans="1:24" x14ac:dyDescent="0.25">
      <c r="A82">
        <v>20656</v>
      </c>
      <c r="B82" t="s">
        <v>1861</v>
      </c>
      <c r="C82" s="1">
        <v>42355</v>
      </c>
      <c r="D82" s="1">
        <v>42360</v>
      </c>
      <c r="E82" t="s">
        <v>43</v>
      </c>
      <c r="F82" t="s">
        <v>1046</v>
      </c>
      <c r="G82" t="s">
        <v>887</v>
      </c>
      <c r="H82" t="s">
        <v>20</v>
      </c>
      <c r="I82" t="s">
        <v>906</v>
      </c>
      <c r="J82" t="s">
        <v>902</v>
      </c>
      <c r="K82" t="s">
        <v>903</v>
      </c>
      <c r="M82" t="s">
        <v>2991</v>
      </c>
      <c r="N82" t="s">
        <v>946</v>
      </c>
      <c r="O82" t="s">
        <v>2566</v>
      </c>
      <c r="P82" t="s">
        <v>31</v>
      </c>
      <c r="Q82" t="s">
        <v>944</v>
      </c>
      <c r="R82" t="s">
        <v>169</v>
      </c>
      <c r="S82">
        <v>626.17500000000007</v>
      </c>
      <c r="T82">
        <v>5</v>
      </c>
      <c r="U82">
        <v>0.25</v>
      </c>
      <c r="V82">
        <v>-16.724999999999994</v>
      </c>
      <c r="W82" s="3">
        <v>47.21</v>
      </c>
      <c r="X82" t="s">
        <v>933</v>
      </c>
    </row>
    <row r="83" spans="1:24" x14ac:dyDescent="0.25">
      <c r="A83">
        <v>23907</v>
      </c>
      <c r="B83" t="s">
        <v>2055</v>
      </c>
      <c r="C83" s="1">
        <v>42292</v>
      </c>
      <c r="D83" s="1">
        <v>42296</v>
      </c>
      <c r="E83" t="s">
        <v>43</v>
      </c>
      <c r="F83" t="s">
        <v>1061</v>
      </c>
      <c r="G83" t="s">
        <v>377</v>
      </c>
      <c r="H83" t="s">
        <v>20</v>
      </c>
      <c r="I83" t="s">
        <v>906</v>
      </c>
      <c r="J83" t="s">
        <v>902</v>
      </c>
      <c r="K83" t="s">
        <v>903</v>
      </c>
      <c r="M83" t="s">
        <v>2991</v>
      </c>
      <c r="N83" t="s">
        <v>946</v>
      </c>
      <c r="O83" t="s">
        <v>2473</v>
      </c>
      <c r="P83" t="s">
        <v>31</v>
      </c>
      <c r="Q83" t="s">
        <v>943</v>
      </c>
      <c r="R83" t="s">
        <v>331</v>
      </c>
      <c r="S83">
        <v>623.66849999999999</v>
      </c>
      <c r="T83">
        <v>3</v>
      </c>
      <c r="U83">
        <v>0.35</v>
      </c>
      <c r="V83">
        <v>-153.57149999999996</v>
      </c>
      <c r="W83" s="3">
        <v>39.28</v>
      </c>
      <c r="X83" t="s">
        <v>931</v>
      </c>
    </row>
    <row r="84" spans="1:24" x14ac:dyDescent="0.25">
      <c r="A84">
        <v>21658</v>
      </c>
      <c r="B84" t="s">
        <v>1911</v>
      </c>
      <c r="C84" s="1">
        <v>41846</v>
      </c>
      <c r="D84" s="1">
        <v>41846</v>
      </c>
      <c r="E84" t="s">
        <v>58</v>
      </c>
      <c r="F84" t="s">
        <v>1134</v>
      </c>
      <c r="G84" t="s">
        <v>565</v>
      </c>
      <c r="H84" t="s">
        <v>39</v>
      </c>
      <c r="I84" t="s">
        <v>906</v>
      </c>
      <c r="J84" t="s">
        <v>902</v>
      </c>
      <c r="K84" t="s">
        <v>903</v>
      </c>
      <c r="M84" t="s">
        <v>2991</v>
      </c>
      <c r="N84" t="s">
        <v>946</v>
      </c>
      <c r="O84" t="s">
        <v>1531</v>
      </c>
      <c r="P84" t="s">
        <v>31</v>
      </c>
      <c r="Q84" t="s">
        <v>943</v>
      </c>
      <c r="R84" t="s">
        <v>333</v>
      </c>
      <c r="S84">
        <v>620.15850000000012</v>
      </c>
      <c r="T84">
        <v>3</v>
      </c>
      <c r="U84">
        <v>0.35</v>
      </c>
      <c r="V84">
        <v>-314.85150000000004</v>
      </c>
      <c r="W84" s="3">
        <v>129.71</v>
      </c>
      <c r="X84" t="s">
        <v>933</v>
      </c>
    </row>
    <row r="85" spans="1:24" x14ac:dyDescent="0.25">
      <c r="A85">
        <v>25003</v>
      </c>
      <c r="B85" t="s">
        <v>2110</v>
      </c>
      <c r="C85" s="1">
        <v>41819</v>
      </c>
      <c r="D85" s="1">
        <v>41826</v>
      </c>
      <c r="E85" t="s">
        <v>19</v>
      </c>
      <c r="F85" t="s">
        <v>1032</v>
      </c>
      <c r="G85" t="s">
        <v>740</v>
      </c>
      <c r="H85" t="s">
        <v>39</v>
      </c>
      <c r="I85" t="s">
        <v>901</v>
      </c>
      <c r="J85" t="s">
        <v>902</v>
      </c>
      <c r="K85" t="s">
        <v>903</v>
      </c>
      <c r="M85" t="s">
        <v>2991</v>
      </c>
      <c r="N85" t="s">
        <v>946</v>
      </c>
      <c r="O85" t="s">
        <v>1531</v>
      </c>
      <c r="P85" t="s">
        <v>31</v>
      </c>
      <c r="Q85" t="s">
        <v>943</v>
      </c>
      <c r="R85" t="s">
        <v>333</v>
      </c>
      <c r="S85">
        <v>620.15850000000012</v>
      </c>
      <c r="T85">
        <v>3</v>
      </c>
      <c r="U85">
        <v>0.35</v>
      </c>
      <c r="V85">
        <v>-314.85150000000004</v>
      </c>
      <c r="W85" s="3">
        <v>42.89</v>
      </c>
      <c r="X85" t="s">
        <v>933</v>
      </c>
    </row>
    <row r="86" spans="1:24" x14ac:dyDescent="0.25">
      <c r="A86">
        <v>22033</v>
      </c>
      <c r="B86" t="s">
        <v>1933</v>
      </c>
      <c r="C86" s="1">
        <v>42478</v>
      </c>
      <c r="D86" s="1">
        <v>42482</v>
      </c>
      <c r="E86" t="s">
        <v>19</v>
      </c>
      <c r="F86" t="s">
        <v>1194</v>
      </c>
      <c r="G86" t="s">
        <v>709</v>
      </c>
      <c r="H86" t="s">
        <v>20</v>
      </c>
      <c r="I86" t="s">
        <v>906</v>
      </c>
      <c r="J86" t="s">
        <v>902</v>
      </c>
      <c r="K86" t="s">
        <v>903</v>
      </c>
      <c r="M86" t="s">
        <v>2991</v>
      </c>
      <c r="N86" t="s">
        <v>946</v>
      </c>
      <c r="O86" t="s">
        <v>2796</v>
      </c>
      <c r="P86" t="s">
        <v>27</v>
      </c>
      <c r="Q86" t="s">
        <v>53</v>
      </c>
      <c r="R86" t="s">
        <v>899</v>
      </c>
      <c r="S86">
        <v>612.19799999999998</v>
      </c>
      <c r="T86">
        <v>3</v>
      </c>
      <c r="U86">
        <v>0.55000000000000004</v>
      </c>
      <c r="V86">
        <v>-81.702000000000226</v>
      </c>
      <c r="W86" s="3">
        <v>40.47</v>
      </c>
      <c r="X86" t="s">
        <v>933</v>
      </c>
    </row>
    <row r="87" spans="1:24" x14ac:dyDescent="0.25">
      <c r="A87">
        <v>22548</v>
      </c>
      <c r="B87" t="s">
        <v>1967</v>
      </c>
      <c r="C87" s="1">
        <v>41971</v>
      </c>
      <c r="D87" s="1">
        <v>41976</v>
      </c>
      <c r="E87" t="s">
        <v>19</v>
      </c>
      <c r="F87" t="s">
        <v>1307</v>
      </c>
      <c r="G87" t="s">
        <v>364</v>
      </c>
      <c r="H87" t="s">
        <v>20</v>
      </c>
      <c r="I87" t="s">
        <v>906</v>
      </c>
      <c r="J87" t="s">
        <v>902</v>
      </c>
      <c r="K87" t="s">
        <v>903</v>
      </c>
      <c r="M87" t="s">
        <v>2991</v>
      </c>
      <c r="N87" t="s">
        <v>946</v>
      </c>
      <c r="O87" t="s">
        <v>2847</v>
      </c>
      <c r="P87" t="s">
        <v>27</v>
      </c>
      <c r="Q87" t="s">
        <v>53</v>
      </c>
      <c r="R87" t="s">
        <v>436</v>
      </c>
      <c r="S87">
        <v>606.93299999999999</v>
      </c>
      <c r="T87">
        <v>3</v>
      </c>
      <c r="U87">
        <v>0.55000000000000004</v>
      </c>
      <c r="V87">
        <v>-418.16700000000014</v>
      </c>
      <c r="W87" s="3">
        <v>42.39</v>
      </c>
      <c r="X87" t="s">
        <v>933</v>
      </c>
    </row>
    <row r="88" spans="1:24" x14ac:dyDescent="0.25">
      <c r="A88">
        <v>23414</v>
      </c>
      <c r="B88" t="s">
        <v>2023</v>
      </c>
      <c r="C88" s="1">
        <v>42414</v>
      </c>
      <c r="D88" s="1">
        <v>42419</v>
      </c>
      <c r="E88" t="s">
        <v>19</v>
      </c>
      <c r="F88" t="s">
        <v>1173</v>
      </c>
      <c r="G88" t="s">
        <v>90</v>
      </c>
      <c r="H88" t="s">
        <v>20</v>
      </c>
      <c r="I88" t="s">
        <v>906</v>
      </c>
      <c r="J88" t="s">
        <v>902</v>
      </c>
      <c r="K88" t="s">
        <v>903</v>
      </c>
      <c r="M88" t="s">
        <v>2991</v>
      </c>
      <c r="N88" t="s">
        <v>946</v>
      </c>
      <c r="O88" t="s">
        <v>2535</v>
      </c>
      <c r="P88" t="s">
        <v>27</v>
      </c>
      <c r="Q88" t="s">
        <v>939</v>
      </c>
      <c r="R88" t="s">
        <v>500</v>
      </c>
      <c r="S88">
        <v>604.57500000000005</v>
      </c>
      <c r="T88">
        <v>5</v>
      </c>
      <c r="U88">
        <v>0.25</v>
      </c>
      <c r="V88">
        <v>185.32499999999999</v>
      </c>
      <c r="W88" s="3">
        <v>39.57</v>
      </c>
      <c r="X88" t="s">
        <v>933</v>
      </c>
    </row>
    <row r="89" spans="1:24" x14ac:dyDescent="0.25">
      <c r="A89">
        <v>20310</v>
      </c>
      <c r="B89" t="s">
        <v>1842</v>
      </c>
      <c r="C89" s="1">
        <v>41466</v>
      </c>
      <c r="D89" s="1">
        <v>41470</v>
      </c>
      <c r="E89" t="s">
        <v>19</v>
      </c>
      <c r="F89" t="s">
        <v>1226</v>
      </c>
      <c r="G89" t="s">
        <v>641</v>
      </c>
      <c r="H89" t="s">
        <v>20</v>
      </c>
      <c r="I89" t="s">
        <v>906</v>
      </c>
      <c r="J89" t="s">
        <v>902</v>
      </c>
      <c r="K89" t="s">
        <v>903</v>
      </c>
      <c r="M89" t="s">
        <v>2991</v>
      </c>
      <c r="N89" t="s">
        <v>946</v>
      </c>
      <c r="O89" t="s">
        <v>2455</v>
      </c>
      <c r="P89" t="s">
        <v>27</v>
      </c>
      <c r="Q89" t="s">
        <v>939</v>
      </c>
      <c r="R89" t="s">
        <v>131</v>
      </c>
      <c r="S89">
        <v>600.84000000000015</v>
      </c>
      <c r="T89">
        <v>8</v>
      </c>
      <c r="U89">
        <v>0.25</v>
      </c>
      <c r="V89">
        <v>-152.28000000000003</v>
      </c>
      <c r="W89" s="3">
        <v>63.81</v>
      </c>
      <c r="X89" t="s">
        <v>931</v>
      </c>
    </row>
    <row r="90" spans="1:24" x14ac:dyDescent="0.25">
      <c r="A90">
        <v>20480</v>
      </c>
      <c r="B90" t="s">
        <v>1850</v>
      </c>
      <c r="C90" s="1">
        <v>41956</v>
      </c>
      <c r="D90" s="1">
        <v>41959</v>
      </c>
      <c r="E90" t="s">
        <v>47</v>
      </c>
      <c r="F90" t="s">
        <v>1436</v>
      </c>
      <c r="G90" t="s">
        <v>311</v>
      </c>
      <c r="H90" t="s">
        <v>39</v>
      </c>
      <c r="I90" t="s">
        <v>906</v>
      </c>
      <c r="J90" t="s">
        <v>902</v>
      </c>
      <c r="K90" t="s">
        <v>903</v>
      </c>
      <c r="M90" t="s">
        <v>2991</v>
      </c>
      <c r="N90" t="s">
        <v>946</v>
      </c>
      <c r="O90" t="s">
        <v>2516</v>
      </c>
      <c r="P90" t="s">
        <v>27</v>
      </c>
      <c r="Q90" t="s">
        <v>939</v>
      </c>
      <c r="R90" t="s">
        <v>454</v>
      </c>
      <c r="S90">
        <v>597.91499999999996</v>
      </c>
      <c r="T90">
        <v>6</v>
      </c>
      <c r="U90">
        <v>0.25</v>
      </c>
      <c r="V90">
        <v>-167.44499999999999</v>
      </c>
      <c r="W90" s="3">
        <v>75.53</v>
      </c>
      <c r="X90" t="s">
        <v>933</v>
      </c>
    </row>
    <row r="91" spans="1:24" x14ac:dyDescent="0.25">
      <c r="A91">
        <v>20307</v>
      </c>
      <c r="B91" t="s">
        <v>1842</v>
      </c>
      <c r="C91" s="1">
        <v>41466</v>
      </c>
      <c r="D91" s="1">
        <v>41470</v>
      </c>
      <c r="E91" t="s">
        <v>19</v>
      </c>
      <c r="F91" t="s">
        <v>1226</v>
      </c>
      <c r="G91" t="s">
        <v>641</v>
      </c>
      <c r="H91" t="s">
        <v>20</v>
      </c>
      <c r="I91" t="s">
        <v>906</v>
      </c>
      <c r="J91" t="s">
        <v>902</v>
      </c>
      <c r="K91" t="s">
        <v>903</v>
      </c>
      <c r="M91" t="s">
        <v>2991</v>
      </c>
      <c r="N91" t="s">
        <v>946</v>
      </c>
      <c r="O91" t="s">
        <v>2449</v>
      </c>
      <c r="P91" t="s">
        <v>31</v>
      </c>
      <c r="Q91" t="s">
        <v>944</v>
      </c>
      <c r="R91" t="s">
        <v>210</v>
      </c>
      <c r="S91">
        <v>589.81499999999994</v>
      </c>
      <c r="T91">
        <v>6</v>
      </c>
      <c r="U91">
        <v>0.25</v>
      </c>
      <c r="V91">
        <v>23.534999999999997</v>
      </c>
      <c r="W91" s="3">
        <v>61.81</v>
      </c>
      <c r="X91" t="s">
        <v>931</v>
      </c>
    </row>
    <row r="92" spans="1:24" x14ac:dyDescent="0.25">
      <c r="A92">
        <v>23177</v>
      </c>
      <c r="B92" t="s">
        <v>2012</v>
      </c>
      <c r="C92" s="1">
        <v>42404</v>
      </c>
      <c r="D92" s="1">
        <v>42407</v>
      </c>
      <c r="E92" t="s">
        <v>47</v>
      </c>
      <c r="F92" t="s">
        <v>1364</v>
      </c>
      <c r="G92" t="s">
        <v>186</v>
      </c>
      <c r="H92" t="s">
        <v>39</v>
      </c>
      <c r="I92" t="s">
        <v>906</v>
      </c>
      <c r="J92" t="s">
        <v>902</v>
      </c>
      <c r="K92" t="s">
        <v>903</v>
      </c>
      <c r="M92" t="s">
        <v>2991</v>
      </c>
      <c r="N92" t="s">
        <v>946</v>
      </c>
      <c r="O92" t="s">
        <v>2474</v>
      </c>
      <c r="P92" t="s">
        <v>27</v>
      </c>
      <c r="Q92" t="s">
        <v>29</v>
      </c>
      <c r="R92" t="s">
        <v>175</v>
      </c>
      <c r="S92">
        <v>582.89400000000012</v>
      </c>
      <c r="T92">
        <v>6</v>
      </c>
      <c r="U92">
        <v>0.35</v>
      </c>
      <c r="V92">
        <v>26.874000000000024</v>
      </c>
      <c r="W92" s="3">
        <v>45.01</v>
      </c>
      <c r="X92" t="s">
        <v>933</v>
      </c>
    </row>
    <row r="93" spans="1:24" x14ac:dyDescent="0.25">
      <c r="A93">
        <v>22704</v>
      </c>
      <c r="B93" t="s">
        <v>1980</v>
      </c>
      <c r="C93" s="1">
        <v>42391</v>
      </c>
      <c r="D93" s="1">
        <v>42396</v>
      </c>
      <c r="E93" t="s">
        <v>19</v>
      </c>
      <c r="F93" t="s">
        <v>1086</v>
      </c>
      <c r="G93" t="s">
        <v>125</v>
      </c>
      <c r="H93" t="s">
        <v>20</v>
      </c>
      <c r="I93" t="s">
        <v>906</v>
      </c>
      <c r="J93" t="s">
        <v>902</v>
      </c>
      <c r="K93" t="s">
        <v>903</v>
      </c>
      <c r="M93" t="s">
        <v>2991</v>
      </c>
      <c r="N93" t="s">
        <v>946</v>
      </c>
      <c r="O93" t="s">
        <v>1828</v>
      </c>
      <c r="P93" t="s">
        <v>27</v>
      </c>
      <c r="Q93" t="s">
        <v>29</v>
      </c>
      <c r="R93" t="s">
        <v>434</v>
      </c>
      <c r="S93">
        <v>582.42600000000004</v>
      </c>
      <c r="T93">
        <v>6</v>
      </c>
      <c r="U93">
        <v>0.35</v>
      </c>
      <c r="V93">
        <v>26.76600000000002</v>
      </c>
      <c r="W93" s="3">
        <v>31.41</v>
      </c>
      <c r="X93" t="s">
        <v>933</v>
      </c>
    </row>
    <row r="94" spans="1:24" x14ac:dyDescent="0.25">
      <c r="A94">
        <v>22641</v>
      </c>
      <c r="B94" t="s">
        <v>1973</v>
      </c>
      <c r="C94" s="1">
        <v>42558</v>
      </c>
      <c r="D94" s="1">
        <v>42562</v>
      </c>
      <c r="E94" t="s">
        <v>19</v>
      </c>
      <c r="F94" t="s">
        <v>1069</v>
      </c>
      <c r="G94" t="s">
        <v>170</v>
      </c>
      <c r="H94" t="s">
        <v>20</v>
      </c>
      <c r="I94" t="s">
        <v>906</v>
      </c>
      <c r="J94" t="s">
        <v>902</v>
      </c>
      <c r="K94" t="s">
        <v>903</v>
      </c>
      <c r="M94" t="s">
        <v>2991</v>
      </c>
      <c r="N94" t="s">
        <v>946</v>
      </c>
      <c r="O94" t="s">
        <v>2856</v>
      </c>
      <c r="P94" t="s">
        <v>31</v>
      </c>
      <c r="Q94" t="s">
        <v>938</v>
      </c>
      <c r="R94" t="s">
        <v>881</v>
      </c>
      <c r="S94">
        <v>576.65250000000015</v>
      </c>
      <c r="T94">
        <v>3</v>
      </c>
      <c r="U94">
        <v>0.25</v>
      </c>
      <c r="V94">
        <v>-7.7175000000000296</v>
      </c>
      <c r="W94" s="3">
        <v>32.340000000000003</v>
      </c>
      <c r="X94" t="s">
        <v>933</v>
      </c>
    </row>
    <row r="95" spans="1:24" x14ac:dyDescent="0.25">
      <c r="A95">
        <v>28860</v>
      </c>
      <c r="B95" t="s">
        <v>2346</v>
      </c>
      <c r="C95" s="1">
        <v>42594</v>
      </c>
      <c r="D95" s="1">
        <v>42598</v>
      </c>
      <c r="E95" t="s">
        <v>19</v>
      </c>
      <c r="F95" t="s">
        <v>1093</v>
      </c>
      <c r="G95" t="s">
        <v>860</v>
      </c>
      <c r="H95" t="s">
        <v>20</v>
      </c>
      <c r="I95" t="s">
        <v>901</v>
      </c>
      <c r="J95" t="s">
        <v>902</v>
      </c>
      <c r="K95" t="s">
        <v>903</v>
      </c>
      <c r="M95" t="s">
        <v>2991</v>
      </c>
      <c r="N95" t="s">
        <v>946</v>
      </c>
      <c r="O95" t="s">
        <v>2923</v>
      </c>
      <c r="P95" t="s">
        <v>31</v>
      </c>
      <c r="Q95" t="s">
        <v>938</v>
      </c>
      <c r="R95" t="s">
        <v>773</v>
      </c>
      <c r="S95">
        <v>569.97000000000014</v>
      </c>
      <c r="T95">
        <v>3</v>
      </c>
      <c r="U95">
        <v>0.25</v>
      </c>
      <c r="V95">
        <v>-159.66000000000003</v>
      </c>
      <c r="W95" s="3">
        <v>45.98</v>
      </c>
      <c r="X95" t="s">
        <v>933</v>
      </c>
    </row>
    <row r="96" spans="1:24" x14ac:dyDescent="0.25">
      <c r="A96">
        <v>21730</v>
      </c>
      <c r="B96" t="s">
        <v>1914</v>
      </c>
      <c r="C96" s="1">
        <v>42309</v>
      </c>
      <c r="D96" s="1">
        <v>42315</v>
      </c>
      <c r="E96" t="s">
        <v>19</v>
      </c>
      <c r="F96" t="s">
        <v>1100</v>
      </c>
      <c r="G96" t="s">
        <v>799</v>
      </c>
      <c r="H96" t="s">
        <v>39</v>
      </c>
      <c r="I96" t="s">
        <v>906</v>
      </c>
      <c r="J96" t="s">
        <v>902</v>
      </c>
      <c r="K96" t="s">
        <v>903</v>
      </c>
      <c r="M96" t="s">
        <v>2991</v>
      </c>
      <c r="N96" t="s">
        <v>946</v>
      </c>
      <c r="O96" t="s">
        <v>2634</v>
      </c>
      <c r="P96" t="s">
        <v>31</v>
      </c>
      <c r="Q96" t="s">
        <v>943</v>
      </c>
      <c r="R96" t="s">
        <v>782</v>
      </c>
      <c r="S96">
        <v>568.26900000000012</v>
      </c>
      <c r="T96">
        <v>6</v>
      </c>
      <c r="U96">
        <v>0.35</v>
      </c>
      <c r="V96">
        <v>87.309000000000083</v>
      </c>
      <c r="W96" s="3">
        <v>82.96</v>
      </c>
      <c r="X96" t="s">
        <v>934</v>
      </c>
    </row>
    <row r="97" spans="1:24" x14ac:dyDescent="0.25">
      <c r="A97">
        <v>26700</v>
      </c>
      <c r="B97" t="s">
        <v>2216</v>
      </c>
      <c r="C97" s="1">
        <v>41455</v>
      </c>
      <c r="D97" s="1">
        <v>41459</v>
      </c>
      <c r="E97" t="s">
        <v>19</v>
      </c>
      <c r="F97" t="s">
        <v>1137</v>
      </c>
      <c r="G97" t="s">
        <v>585</v>
      </c>
      <c r="H97" t="s">
        <v>37</v>
      </c>
      <c r="I97" t="s">
        <v>917</v>
      </c>
      <c r="J97" t="s">
        <v>915</v>
      </c>
      <c r="K97" t="s">
        <v>903</v>
      </c>
      <c r="M97" t="s">
        <v>2991</v>
      </c>
      <c r="N97" t="s">
        <v>946</v>
      </c>
      <c r="O97" t="s">
        <v>2640</v>
      </c>
      <c r="P97" t="s">
        <v>27</v>
      </c>
      <c r="Q97" t="s">
        <v>29</v>
      </c>
      <c r="R97" t="s">
        <v>279</v>
      </c>
      <c r="S97">
        <v>566.78700000000003</v>
      </c>
      <c r="T97">
        <v>2</v>
      </c>
      <c r="U97">
        <v>0.35</v>
      </c>
      <c r="V97">
        <v>17.427000000000021</v>
      </c>
      <c r="W97" s="3">
        <v>55.2</v>
      </c>
      <c r="X97" t="s">
        <v>933</v>
      </c>
    </row>
    <row r="98" spans="1:24" x14ac:dyDescent="0.25">
      <c r="A98">
        <v>28839</v>
      </c>
      <c r="B98" t="s">
        <v>2345</v>
      </c>
      <c r="C98" s="1">
        <v>42705</v>
      </c>
      <c r="D98" s="1">
        <v>42709</v>
      </c>
      <c r="E98" t="s">
        <v>19</v>
      </c>
      <c r="F98" t="s">
        <v>1293</v>
      </c>
      <c r="G98" t="s">
        <v>166</v>
      </c>
      <c r="H98" t="s">
        <v>37</v>
      </c>
      <c r="I98" t="s">
        <v>906</v>
      </c>
      <c r="J98" t="s">
        <v>902</v>
      </c>
      <c r="K98" t="s">
        <v>903</v>
      </c>
      <c r="M98" t="s">
        <v>2991</v>
      </c>
      <c r="N98" t="s">
        <v>946</v>
      </c>
      <c r="O98" t="s">
        <v>2944</v>
      </c>
      <c r="P98" t="s">
        <v>31</v>
      </c>
      <c r="Q98" t="s">
        <v>943</v>
      </c>
      <c r="R98" t="s">
        <v>460</v>
      </c>
      <c r="S98">
        <v>562.88700000000006</v>
      </c>
      <c r="T98">
        <v>6</v>
      </c>
      <c r="U98">
        <v>0.35</v>
      </c>
      <c r="V98">
        <v>129.80700000000002</v>
      </c>
      <c r="W98" s="3">
        <v>35.51</v>
      </c>
      <c r="X98" t="s">
        <v>933</v>
      </c>
    </row>
    <row r="99" spans="1:24" x14ac:dyDescent="0.25">
      <c r="A99">
        <v>20323</v>
      </c>
      <c r="B99" t="s">
        <v>1846</v>
      </c>
      <c r="C99" s="1">
        <v>41519</v>
      </c>
      <c r="D99" s="1">
        <v>41525</v>
      </c>
      <c r="E99" t="s">
        <v>19</v>
      </c>
      <c r="F99" t="s">
        <v>1271</v>
      </c>
      <c r="G99" t="s">
        <v>827</v>
      </c>
      <c r="H99" t="s">
        <v>20</v>
      </c>
      <c r="I99" t="s">
        <v>909</v>
      </c>
      <c r="J99" t="s">
        <v>902</v>
      </c>
      <c r="K99" t="s">
        <v>903</v>
      </c>
      <c r="M99" t="s">
        <v>2991</v>
      </c>
      <c r="N99" t="s">
        <v>946</v>
      </c>
      <c r="O99" t="s">
        <v>2464</v>
      </c>
      <c r="P99" t="s">
        <v>22</v>
      </c>
      <c r="Q99" t="s">
        <v>935</v>
      </c>
      <c r="R99" t="s">
        <v>534</v>
      </c>
      <c r="S99">
        <v>561.49499999999989</v>
      </c>
      <c r="T99">
        <v>5</v>
      </c>
      <c r="U99">
        <v>0.45</v>
      </c>
      <c r="V99">
        <v>-316.6049999999999</v>
      </c>
      <c r="W99" s="3">
        <v>53.37</v>
      </c>
      <c r="X99" t="s">
        <v>934</v>
      </c>
    </row>
    <row r="100" spans="1:24" x14ac:dyDescent="0.25">
      <c r="A100">
        <v>23652</v>
      </c>
      <c r="B100" t="s">
        <v>2040</v>
      </c>
      <c r="C100" s="1">
        <v>42238</v>
      </c>
      <c r="D100" s="1">
        <v>42240</v>
      </c>
      <c r="E100" t="s">
        <v>43</v>
      </c>
      <c r="F100" t="s">
        <v>1249</v>
      </c>
      <c r="G100" t="s">
        <v>352</v>
      </c>
      <c r="H100" t="s">
        <v>20</v>
      </c>
      <c r="I100" t="s">
        <v>916</v>
      </c>
      <c r="J100" t="s">
        <v>911</v>
      </c>
      <c r="K100" t="s">
        <v>903</v>
      </c>
      <c r="M100" t="s">
        <v>2991</v>
      </c>
      <c r="N100" t="s">
        <v>946</v>
      </c>
      <c r="O100" t="s">
        <v>2857</v>
      </c>
      <c r="P100" t="s">
        <v>22</v>
      </c>
      <c r="Q100" t="s">
        <v>935</v>
      </c>
      <c r="R100" t="s">
        <v>388</v>
      </c>
      <c r="S100">
        <v>561.41250000000002</v>
      </c>
      <c r="T100">
        <v>5</v>
      </c>
      <c r="U100">
        <v>0.45</v>
      </c>
      <c r="V100">
        <v>-193.98749999999995</v>
      </c>
      <c r="W100" s="3">
        <v>48.37</v>
      </c>
      <c r="X100" t="s">
        <v>931</v>
      </c>
    </row>
    <row r="101" spans="1:24" x14ac:dyDescent="0.25">
      <c r="A101">
        <v>29142</v>
      </c>
      <c r="B101" t="s">
        <v>2365</v>
      </c>
      <c r="C101" s="1">
        <v>41522</v>
      </c>
      <c r="D101" s="1">
        <v>41529</v>
      </c>
      <c r="E101" t="s">
        <v>19</v>
      </c>
      <c r="F101" t="s">
        <v>1210</v>
      </c>
      <c r="G101" t="s">
        <v>158</v>
      </c>
      <c r="H101" t="s">
        <v>20</v>
      </c>
      <c r="I101" t="s">
        <v>906</v>
      </c>
      <c r="J101" t="s">
        <v>902</v>
      </c>
      <c r="K101" t="s">
        <v>903</v>
      </c>
      <c r="M101" t="s">
        <v>2991</v>
      </c>
      <c r="N101" t="s">
        <v>946</v>
      </c>
      <c r="O101" t="s">
        <v>2716</v>
      </c>
      <c r="P101" t="s">
        <v>27</v>
      </c>
      <c r="Q101" t="s">
        <v>29</v>
      </c>
      <c r="R101" t="s">
        <v>717</v>
      </c>
      <c r="S101">
        <v>555.51599999999996</v>
      </c>
      <c r="T101">
        <v>6</v>
      </c>
      <c r="U101">
        <v>0.35</v>
      </c>
      <c r="V101">
        <v>59.796000000000049</v>
      </c>
      <c r="W101" s="3">
        <v>80.63</v>
      </c>
      <c r="X101" t="s">
        <v>934</v>
      </c>
    </row>
    <row r="102" spans="1:24" x14ac:dyDescent="0.25">
      <c r="A102">
        <v>22511</v>
      </c>
      <c r="B102" t="s">
        <v>1966</v>
      </c>
      <c r="C102" s="1">
        <v>42727</v>
      </c>
      <c r="D102" s="1">
        <v>42731</v>
      </c>
      <c r="E102" t="s">
        <v>19</v>
      </c>
      <c r="F102" t="s">
        <v>1262</v>
      </c>
      <c r="G102" t="s">
        <v>139</v>
      </c>
      <c r="H102" t="s">
        <v>37</v>
      </c>
      <c r="I102" t="s">
        <v>906</v>
      </c>
      <c r="J102" t="s">
        <v>902</v>
      </c>
      <c r="K102" t="s">
        <v>903</v>
      </c>
      <c r="M102" t="s">
        <v>2991</v>
      </c>
      <c r="N102" t="s">
        <v>946</v>
      </c>
      <c r="O102" t="s">
        <v>2587</v>
      </c>
      <c r="P102" t="s">
        <v>31</v>
      </c>
      <c r="Q102" t="s">
        <v>945</v>
      </c>
      <c r="R102" t="s">
        <v>111</v>
      </c>
      <c r="S102">
        <v>555.39</v>
      </c>
      <c r="T102">
        <v>9</v>
      </c>
      <c r="U102">
        <v>0.45</v>
      </c>
      <c r="V102">
        <v>-30.509999999999934</v>
      </c>
      <c r="W102" s="3">
        <v>35.69</v>
      </c>
      <c r="X102" t="s">
        <v>933</v>
      </c>
    </row>
    <row r="103" spans="1:24" x14ac:dyDescent="0.25">
      <c r="A103">
        <v>23794</v>
      </c>
      <c r="B103" t="s">
        <v>2047</v>
      </c>
      <c r="C103" s="1">
        <v>42680</v>
      </c>
      <c r="D103" s="1">
        <v>42684</v>
      </c>
      <c r="E103" t="s">
        <v>19</v>
      </c>
      <c r="F103" t="s">
        <v>1222</v>
      </c>
      <c r="G103" t="s">
        <v>276</v>
      </c>
      <c r="H103" t="s">
        <v>20</v>
      </c>
      <c r="I103" t="s">
        <v>906</v>
      </c>
      <c r="J103" t="s">
        <v>902</v>
      </c>
      <c r="K103" t="s">
        <v>903</v>
      </c>
      <c r="M103" t="s">
        <v>2991</v>
      </c>
      <c r="N103" t="s">
        <v>946</v>
      </c>
      <c r="O103" t="s">
        <v>2736</v>
      </c>
      <c r="P103" t="s">
        <v>31</v>
      </c>
      <c r="Q103" t="s">
        <v>944</v>
      </c>
      <c r="R103" t="s">
        <v>680</v>
      </c>
      <c r="S103">
        <v>550.07999999999993</v>
      </c>
      <c r="T103">
        <v>4</v>
      </c>
      <c r="U103">
        <v>0.25</v>
      </c>
      <c r="V103">
        <v>-66.11999999999999</v>
      </c>
      <c r="W103" s="3">
        <v>34.79</v>
      </c>
      <c r="X103" t="s">
        <v>933</v>
      </c>
    </row>
    <row r="104" spans="1:24" x14ac:dyDescent="0.25">
      <c r="A104">
        <v>27144</v>
      </c>
      <c r="B104" t="s">
        <v>2247</v>
      </c>
      <c r="C104" s="1">
        <v>41603</v>
      </c>
      <c r="D104" s="1">
        <v>41608</v>
      </c>
      <c r="E104" t="s">
        <v>19</v>
      </c>
      <c r="F104" t="s">
        <v>1019</v>
      </c>
      <c r="G104" t="s">
        <v>828</v>
      </c>
      <c r="H104" t="s">
        <v>20</v>
      </c>
      <c r="I104" t="s">
        <v>918</v>
      </c>
      <c r="J104" t="s">
        <v>911</v>
      </c>
      <c r="K104" t="s">
        <v>903</v>
      </c>
      <c r="M104" t="s">
        <v>2991</v>
      </c>
      <c r="N104" t="s">
        <v>946</v>
      </c>
      <c r="O104" t="s">
        <v>2836</v>
      </c>
      <c r="P104" t="s">
        <v>27</v>
      </c>
      <c r="Q104" t="s">
        <v>29</v>
      </c>
      <c r="R104" t="s">
        <v>685</v>
      </c>
      <c r="S104">
        <v>546.97500000000002</v>
      </c>
      <c r="T104">
        <v>5</v>
      </c>
      <c r="U104">
        <v>0.35</v>
      </c>
      <c r="V104">
        <v>100.875</v>
      </c>
      <c r="W104" s="3">
        <v>49.2</v>
      </c>
      <c r="X104" t="s">
        <v>933</v>
      </c>
    </row>
    <row r="105" spans="1:24" x14ac:dyDescent="0.25">
      <c r="A105">
        <v>26021</v>
      </c>
      <c r="B105" t="s">
        <v>2167</v>
      </c>
      <c r="C105" s="1">
        <v>41351</v>
      </c>
      <c r="D105" s="1">
        <v>41355</v>
      </c>
      <c r="E105" t="s">
        <v>43</v>
      </c>
      <c r="F105" t="s">
        <v>960</v>
      </c>
      <c r="G105" t="s">
        <v>549</v>
      </c>
      <c r="H105" t="s">
        <v>20</v>
      </c>
      <c r="I105" t="s">
        <v>906</v>
      </c>
      <c r="J105" t="s">
        <v>902</v>
      </c>
      <c r="K105" t="s">
        <v>903</v>
      </c>
      <c r="M105" t="s">
        <v>2991</v>
      </c>
      <c r="N105" t="s">
        <v>946</v>
      </c>
      <c r="O105" t="s">
        <v>2946</v>
      </c>
      <c r="P105" t="s">
        <v>22</v>
      </c>
      <c r="Q105" t="s">
        <v>50</v>
      </c>
      <c r="R105" t="s">
        <v>219</v>
      </c>
      <c r="S105">
        <v>543.45600000000002</v>
      </c>
      <c r="T105">
        <v>9</v>
      </c>
      <c r="U105">
        <v>0.15000000000000002</v>
      </c>
      <c r="V105">
        <v>70.145999999999987</v>
      </c>
      <c r="W105" s="3">
        <v>80.06</v>
      </c>
      <c r="X105" t="s">
        <v>931</v>
      </c>
    </row>
    <row r="106" spans="1:24" x14ac:dyDescent="0.25">
      <c r="A106">
        <v>23822</v>
      </c>
      <c r="B106" t="s">
        <v>2049</v>
      </c>
      <c r="C106" s="1">
        <v>41341</v>
      </c>
      <c r="D106" s="1">
        <v>41345</v>
      </c>
      <c r="E106" t="s">
        <v>19</v>
      </c>
      <c r="F106" t="s">
        <v>982</v>
      </c>
      <c r="G106" t="s">
        <v>520</v>
      </c>
      <c r="H106" t="s">
        <v>39</v>
      </c>
      <c r="I106" t="s">
        <v>906</v>
      </c>
      <c r="J106" t="s">
        <v>902</v>
      </c>
      <c r="K106" t="s">
        <v>903</v>
      </c>
      <c r="M106" t="s">
        <v>2991</v>
      </c>
      <c r="N106" t="s">
        <v>946</v>
      </c>
      <c r="O106" t="s">
        <v>2917</v>
      </c>
      <c r="P106" t="s">
        <v>31</v>
      </c>
      <c r="Q106" t="s">
        <v>944</v>
      </c>
      <c r="R106" t="s">
        <v>744</v>
      </c>
      <c r="S106">
        <v>543.10500000000002</v>
      </c>
      <c r="T106">
        <v>9</v>
      </c>
      <c r="U106">
        <v>0.25</v>
      </c>
      <c r="V106">
        <v>-7.4250000000000398</v>
      </c>
      <c r="W106" s="3">
        <v>40.479999999999997</v>
      </c>
      <c r="X106" t="s">
        <v>933</v>
      </c>
    </row>
    <row r="107" spans="1:24" x14ac:dyDescent="0.25">
      <c r="A107">
        <v>21432</v>
      </c>
      <c r="B107" t="s">
        <v>1898</v>
      </c>
      <c r="C107" s="1">
        <v>42154</v>
      </c>
      <c r="D107" s="1">
        <v>42156</v>
      </c>
      <c r="E107" t="s">
        <v>47</v>
      </c>
      <c r="F107" t="s">
        <v>959</v>
      </c>
      <c r="G107" t="s">
        <v>363</v>
      </c>
      <c r="H107" t="s">
        <v>39</v>
      </c>
      <c r="I107" t="s">
        <v>912</v>
      </c>
      <c r="J107" t="s">
        <v>913</v>
      </c>
      <c r="K107" t="s">
        <v>903</v>
      </c>
      <c r="M107" t="s">
        <v>2991</v>
      </c>
      <c r="N107" t="s">
        <v>946</v>
      </c>
      <c r="O107" t="s">
        <v>2570</v>
      </c>
      <c r="P107" t="s">
        <v>27</v>
      </c>
      <c r="Q107" t="s">
        <v>29</v>
      </c>
      <c r="R107" t="s">
        <v>141</v>
      </c>
      <c r="S107">
        <v>535.78200000000004</v>
      </c>
      <c r="T107">
        <v>2</v>
      </c>
      <c r="U107">
        <v>0.35</v>
      </c>
      <c r="V107">
        <v>65.922000000000025</v>
      </c>
      <c r="W107" s="3">
        <v>27.53</v>
      </c>
      <c r="X107" t="s">
        <v>933</v>
      </c>
    </row>
    <row r="108" spans="1:24" x14ac:dyDescent="0.25">
      <c r="A108">
        <v>21890</v>
      </c>
      <c r="B108" t="s">
        <v>1927</v>
      </c>
      <c r="C108" s="1">
        <v>41910</v>
      </c>
      <c r="D108" s="1">
        <v>41911</v>
      </c>
      <c r="E108" t="s">
        <v>47</v>
      </c>
      <c r="F108" t="s">
        <v>1282</v>
      </c>
      <c r="G108" t="s">
        <v>326</v>
      </c>
      <c r="H108" t="s">
        <v>37</v>
      </c>
      <c r="I108" t="s">
        <v>910</v>
      </c>
      <c r="J108" t="s">
        <v>902</v>
      </c>
      <c r="K108" t="s">
        <v>903</v>
      </c>
      <c r="M108" t="s">
        <v>2991</v>
      </c>
      <c r="N108" t="s">
        <v>946</v>
      </c>
      <c r="O108" t="s">
        <v>2570</v>
      </c>
      <c r="P108" t="s">
        <v>27</v>
      </c>
      <c r="Q108" t="s">
        <v>29</v>
      </c>
      <c r="R108" t="s">
        <v>141</v>
      </c>
      <c r="S108">
        <v>535.78200000000004</v>
      </c>
      <c r="T108">
        <v>2</v>
      </c>
      <c r="U108">
        <v>0.35</v>
      </c>
      <c r="V108">
        <v>65.922000000000025</v>
      </c>
      <c r="W108" s="3">
        <v>11.89</v>
      </c>
      <c r="X108" t="s">
        <v>931</v>
      </c>
    </row>
    <row r="109" spans="1:24" x14ac:dyDescent="0.25">
      <c r="A109">
        <v>21279</v>
      </c>
      <c r="B109" t="s">
        <v>1892</v>
      </c>
      <c r="C109" s="1">
        <v>42209</v>
      </c>
      <c r="D109" s="1">
        <v>42214</v>
      </c>
      <c r="E109" t="s">
        <v>19</v>
      </c>
      <c r="F109" t="s">
        <v>1365</v>
      </c>
      <c r="G109" t="s">
        <v>532</v>
      </c>
      <c r="H109" t="s">
        <v>20</v>
      </c>
      <c r="I109" t="s">
        <v>906</v>
      </c>
      <c r="J109" t="s">
        <v>902</v>
      </c>
      <c r="K109" t="s">
        <v>903</v>
      </c>
      <c r="M109" t="s">
        <v>2991</v>
      </c>
      <c r="N109" t="s">
        <v>946</v>
      </c>
      <c r="O109" t="s">
        <v>1530</v>
      </c>
      <c r="P109" t="s">
        <v>27</v>
      </c>
      <c r="Q109" t="s">
        <v>939</v>
      </c>
      <c r="R109" t="s">
        <v>587</v>
      </c>
      <c r="S109">
        <v>528.56999999999994</v>
      </c>
      <c r="T109">
        <v>4</v>
      </c>
      <c r="U109">
        <v>0.25</v>
      </c>
      <c r="V109">
        <v>-176.19</v>
      </c>
      <c r="W109" s="3">
        <v>54.09</v>
      </c>
      <c r="X109" t="s">
        <v>933</v>
      </c>
    </row>
    <row r="110" spans="1:24" x14ac:dyDescent="0.25">
      <c r="A110">
        <v>28805</v>
      </c>
      <c r="B110" t="s">
        <v>2342</v>
      </c>
      <c r="C110" s="1">
        <v>41566</v>
      </c>
      <c r="D110" s="1">
        <v>41570</v>
      </c>
      <c r="E110" t="s">
        <v>19</v>
      </c>
      <c r="F110" t="s">
        <v>1262</v>
      </c>
      <c r="G110" t="s">
        <v>139</v>
      </c>
      <c r="H110" t="s">
        <v>37</v>
      </c>
      <c r="I110" t="s">
        <v>906</v>
      </c>
      <c r="J110" t="s">
        <v>902</v>
      </c>
      <c r="K110" t="s">
        <v>903</v>
      </c>
      <c r="M110" t="s">
        <v>2991</v>
      </c>
      <c r="N110" t="s">
        <v>946</v>
      </c>
      <c r="O110" t="s">
        <v>2538</v>
      </c>
      <c r="P110" t="s">
        <v>31</v>
      </c>
      <c r="Q110" t="s">
        <v>944</v>
      </c>
      <c r="R110" t="s">
        <v>664</v>
      </c>
      <c r="S110">
        <v>519.29999999999995</v>
      </c>
      <c r="T110">
        <v>5</v>
      </c>
      <c r="U110">
        <v>0.25</v>
      </c>
      <c r="V110">
        <v>110.70000000000002</v>
      </c>
      <c r="W110" s="3">
        <v>19</v>
      </c>
      <c r="X110" t="s">
        <v>933</v>
      </c>
    </row>
    <row r="111" spans="1:24" x14ac:dyDescent="0.25">
      <c r="A111">
        <v>28384</v>
      </c>
      <c r="B111" t="s">
        <v>2323</v>
      </c>
      <c r="C111" s="1">
        <v>41356</v>
      </c>
      <c r="D111" s="1">
        <v>41361</v>
      </c>
      <c r="E111" t="s">
        <v>19</v>
      </c>
      <c r="F111" t="s">
        <v>1310</v>
      </c>
      <c r="G111" t="s">
        <v>488</v>
      </c>
      <c r="H111" t="s">
        <v>39</v>
      </c>
      <c r="I111" t="s">
        <v>906</v>
      </c>
      <c r="J111" t="s">
        <v>902</v>
      </c>
      <c r="K111" t="s">
        <v>903</v>
      </c>
      <c r="M111" t="s">
        <v>2991</v>
      </c>
      <c r="N111" t="s">
        <v>946</v>
      </c>
      <c r="O111" t="s">
        <v>2981</v>
      </c>
      <c r="P111" t="s">
        <v>31</v>
      </c>
      <c r="Q111" t="s">
        <v>943</v>
      </c>
      <c r="R111" t="s">
        <v>362</v>
      </c>
      <c r="S111">
        <v>507.66300000000012</v>
      </c>
      <c r="T111">
        <v>3</v>
      </c>
      <c r="U111">
        <v>0.35</v>
      </c>
      <c r="V111">
        <v>-78.146999999999935</v>
      </c>
      <c r="W111" s="3">
        <v>39.840000000000003</v>
      </c>
      <c r="X111" t="s">
        <v>933</v>
      </c>
    </row>
    <row r="112" spans="1:24" x14ac:dyDescent="0.25">
      <c r="A112">
        <v>27265</v>
      </c>
      <c r="B112" t="s">
        <v>2261</v>
      </c>
      <c r="C112" s="1">
        <v>42078</v>
      </c>
      <c r="D112" s="1">
        <v>42082</v>
      </c>
      <c r="E112" t="s">
        <v>19</v>
      </c>
      <c r="F112" t="s">
        <v>1272</v>
      </c>
      <c r="G112" t="s">
        <v>484</v>
      </c>
      <c r="H112" t="s">
        <v>37</v>
      </c>
      <c r="I112" t="s">
        <v>906</v>
      </c>
      <c r="J112" t="s">
        <v>902</v>
      </c>
      <c r="K112" t="s">
        <v>903</v>
      </c>
      <c r="M112" t="s">
        <v>2991</v>
      </c>
      <c r="N112" t="s">
        <v>946</v>
      </c>
      <c r="O112" t="s">
        <v>2713</v>
      </c>
      <c r="P112" t="s">
        <v>27</v>
      </c>
      <c r="Q112" t="s">
        <v>939</v>
      </c>
      <c r="R112" t="s">
        <v>695</v>
      </c>
      <c r="S112">
        <v>501.29999999999995</v>
      </c>
      <c r="T112">
        <v>5</v>
      </c>
      <c r="U112">
        <v>0.25</v>
      </c>
      <c r="V112">
        <v>126.90000000000003</v>
      </c>
      <c r="W112" s="3">
        <v>42.99</v>
      </c>
      <c r="X112" t="s">
        <v>931</v>
      </c>
    </row>
    <row r="113" spans="1:24" x14ac:dyDescent="0.25">
      <c r="A113">
        <v>21788</v>
      </c>
      <c r="B113" t="s">
        <v>1916</v>
      </c>
      <c r="C113" s="1">
        <v>41569</v>
      </c>
      <c r="D113" s="1">
        <v>41576</v>
      </c>
      <c r="E113" t="s">
        <v>19</v>
      </c>
      <c r="F113" t="s">
        <v>1080</v>
      </c>
      <c r="G113" t="s">
        <v>515</v>
      </c>
      <c r="H113" t="s">
        <v>20</v>
      </c>
      <c r="I113" t="s">
        <v>914</v>
      </c>
      <c r="J113" t="s">
        <v>915</v>
      </c>
      <c r="K113" t="s">
        <v>903</v>
      </c>
      <c r="M113" t="s">
        <v>2991</v>
      </c>
      <c r="N113" t="s">
        <v>946</v>
      </c>
      <c r="O113" t="s">
        <v>2463</v>
      </c>
      <c r="P113" t="s">
        <v>27</v>
      </c>
      <c r="Q113" t="s">
        <v>939</v>
      </c>
      <c r="R113" t="s">
        <v>119</v>
      </c>
      <c r="S113">
        <v>499.68</v>
      </c>
      <c r="T113">
        <v>8</v>
      </c>
      <c r="U113">
        <v>0.25</v>
      </c>
      <c r="V113">
        <v>139.68</v>
      </c>
      <c r="W113" s="3">
        <v>22.46</v>
      </c>
      <c r="X113" t="s">
        <v>933</v>
      </c>
    </row>
    <row r="114" spans="1:24" x14ac:dyDescent="0.25">
      <c r="A114">
        <v>24358</v>
      </c>
      <c r="B114" t="s">
        <v>2074</v>
      </c>
      <c r="C114" s="1">
        <v>42019</v>
      </c>
      <c r="D114" s="1">
        <v>42025</v>
      </c>
      <c r="E114" t="s">
        <v>19</v>
      </c>
      <c r="F114" t="s">
        <v>1287</v>
      </c>
      <c r="G114" t="s">
        <v>397</v>
      </c>
      <c r="H114" t="s">
        <v>20</v>
      </c>
      <c r="I114" t="s">
        <v>906</v>
      </c>
      <c r="J114" t="s">
        <v>902</v>
      </c>
      <c r="K114" t="s">
        <v>903</v>
      </c>
      <c r="M114" t="s">
        <v>2991</v>
      </c>
      <c r="N114" t="s">
        <v>946</v>
      </c>
      <c r="O114" t="s">
        <v>2752</v>
      </c>
      <c r="P114" t="s">
        <v>27</v>
      </c>
      <c r="Q114" t="s">
        <v>939</v>
      </c>
      <c r="R114" t="s">
        <v>557</v>
      </c>
      <c r="S114">
        <v>496.53000000000009</v>
      </c>
      <c r="T114">
        <v>4</v>
      </c>
      <c r="U114">
        <v>0.25</v>
      </c>
      <c r="V114">
        <v>152.24999999999997</v>
      </c>
      <c r="W114" s="3">
        <v>83</v>
      </c>
      <c r="X114" t="s">
        <v>934</v>
      </c>
    </row>
    <row r="115" spans="1:24" x14ac:dyDescent="0.25">
      <c r="A115">
        <v>25192</v>
      </c>
      <c r="B115" t="s">
        <v>2118</v>
      </c>
      <c r="C115" s="1">
        <v>42418</v>
      </c>
      <c r="D115" s="1">
        <v>42420</v>
      </c>
      <c r="E115" t="s">
        <v>47</v>
      </c>
      <c r="F115" t="s">
        <v>1115</v>
      </c>
      <c r="G115" t="s">
        <v>553</v>
      </c>
      <c r="H115" t="s">
        <v>20</v>
      </c>
      <c r="I115" t="s">
        <v>922</v>
      </c>
      <c r="J115" t="s">
        <v>923</v>
      </c>
      <c r="K115" t="s">
        <v>903</v>
      </c>
      <c r="M115" t="s">
        <v>2991</v>
      </c>
      <c r="N115" t="s">
        <v>946</v>
      </c>
      <c r="O115" t="s">
        <v>2470</v>
      </c>
      <c r="P115" t="s">
        <v>27</v>
      </c>
      <c r="Q115" t="s">
        <v>936</v>
      </c>
      <c r="R115" t="s">
        <v>323</v>
      </c>
      <c r="S115">
        <v>495.18</v>
      </c>
      <c r="T115">
        <v>6</v>
      </c>
      <c r="U115">
        <v>0.25</v>
      </c>
      <c r="V115">
        <v>79.199999999999989</v>
      </c>
      <c r="W115" s="3">
        <v>62.96</v>
      </c>
      <c r="X115" t="s">
        <v>931</v>
      </c>
    </row>
    <row r="116" spans="1:24" x14ac:dyDescent="0.25">
      <c r="A116">
        <v>26452</v>
      </c>
      <c r="B116" t="s">
        <v>2202</v>
      </c>
      <c r="C116" s="1">
        <v>41950</v>
      </c>
      <c r="D116" s="1">
        <v>41956</v>
      </c>
      <c r="E116" t="s">
        <v>19</v>
      </c>
      <c r="F116" t="s">
        <v>1210</v>
      </c>
      <c r="G116" t="s">
        <v>158</v>
      </c>
      <c r="H116" t="s">
        <v>20</v>
      </c>
      <c r="I116" t="s">
        <v>906</v>
      </c>
      <c r="J116" t="s">
        <v>902</v>
      </c>
      <c r="K116" t="s">
        <v>903</v>
      </c>
      <c r="M116" t="s">
        <v>2991</v>
      </c>
      <c r="N116" t="s">
        <v>946</v>
      </c>
      <c r="O116" t="s">
        <v>2919</v>
      </c>
      <c r="P116" t="s">
        <v>27</v>
      </c>
      <c r="Q116" t="s">
        <v>936</v>
      </c>
      <c r="R116" t="s">
        <v>493</v>
      </c>
      <c r="S116">
        <v>494.90999999999991</v>
      </c>
      <c r="T116">
        <v>6</v>
      </c>
      <c r="U116">
        <v>0.25</v>
      </c>
      <c r="V116">
        <v>-138.68999999999997</v>
      </c>
      <c r="W116" s="3">
        <v>29.73</v>
      </c>
      <c r="X116" t="s">
        <v>933</v>
      </c>
    </row>
    <row r="117" spans="1:24" x14ac:dyDescent="0.25">
      <c r="A117">
        <v>21789</v>
      </c>
      <c r="B117" t="s">
        <v>1916</v>
      </c>
      <c r="C117" s="1">
        <v>41569</v>
      </c>
      <c r="D117" s="1">
        <v>41576</v>
      </c>
      <c r="E117" t="s">
        <v>19</v>
      </c>
      <c r="F117" t="s">
        <v>1080</v>
      </c>
      <c r="G117" t="s">
        <v>515</v>
      </c>
      <c r="H117" t="s">
        <v>20</v>
      </c>
      <c r="I117" t="s">
        <v>914</v>
      </c>
      <c r="J117" t="s">
        <v>915</v>
      </c>
      <c r="K117" t="s">
        <v>903</v>
      </c>
      <c r="M117" t="s">
        <v>2991</v>
      </c>
      <c r="N117" t="s">
        <v>946</v>
      </c>
      <c r="O117" t="s">
        <v>2771</v>
      </c>
      <c r="P117" t="s">
        <v>27</v>
      </c>
      <c r="Q117" t="s">
        <v>936</v>
      </c>
      <c r="R117" t="s">
        <v>465</v>
      </c>
      <c r="S117">
        <v>493.82999999999993</v>
      </c>
      <c r="T117">
        <v>6</v>
      </c>
      <c r="U117">
        <v>0.25</v>
      </c>
      <c r="V117">
        <v>85.590000000000032</v>
      </c>
      <c r="W117" s="3">
        <v>38.22</v>
      </c>
      <c r="X117" t="s">
        <v>933</v>
      </c>
    </row>
    <row r="118" spans="1:24" x14ac:dyDescent="0.25">
      <c r="A118">
        <v>23829</v>
      </c>
      <c r="B118" t="s">
        <v>2050</v>
      </c>
      <c r="C118" s="1">
        <v>41920</v>
      </c>
      <c r="D118" s="1">
        <v>41925</v>
      </c>
      <c r="E118" t="s">
        <v>19</v>
      </c>
      <c r="F118" t="s">
        <v>1004</v>
      </c>
      <c r="G118" t="s">
        <v>146</v>
      </c>
      <c r="H118" t="s">
        <v>39</v>
      </c>
      <c r="I118" t="s">
        <v>906</v>
      </c>
      <c r="J118" t="s">
        <v>902</v>
      </c>
      <c r="K118" t="s">
        <v>903</v>
      </c>
      <c r="M118" t="s">
        <v>2991</v>
      </c>
      <c r="N118" t="s">
        <v>946</v>
      </c>
      <c r="O118" t="s">
        <v>2680</v>
      </c>
      <c r="P118" t="s">
        <v>27</v>
      </c>
      <c r="Q118" t="s">
        <v>939</v>
      </c>
      <c r="R118" t="s">
        <v>371</v>
      </c>
      <c r="S118">
        <v>486.09000000000009</v>
      </c>
      <c r="T118">
        <v>4</v>
      </c>
      <c r="U118">
        <v>0.25</v>
      </c>
      <c r="V118">
        <v>-19.470000000000027</v>
      </c>
      <c r="W118" s="3">
        <v>35.6</v>
      </c>
      <c r="X118" t="s">
        <v>933</v>
      </c>
    </row>
    <row r="119" spans="1:24" x14ac:dyDescent="0.25">
      <c r="A119">
        <v>25764</v>
      </c>
      <c r="B119" t="s">
        <v>2158</v>
      </c>
      <c r="C119" s="1">
        <v>42734</v>
      </c>
      <c r="D119" s="1">
        <v>42009</v>
      </c>
      <c r="E119" t="s">
        <v>19</v>
      </c>
      <c r="F119" t="s">
        <v>1047</v>
      </c>
      <c r="G119" t="s">
        <v>406</v>
      </c>
      <c r="H119" t="s">
        <v>20</v>
      </c>
      <c r="I119" t="s">
        <v>906</v>
      </c>
      <c r="J119" t="s">
        <v>902</v>
      </c>
      <c r="K119" t="s">
        <v>903</v>
      </c>
      <c r="M119" t="s">
        <v>2991</v>
      </c>
      <c r="N119" t="s">
        <v>946</v>
      </c>
      <c r="O119" t="s">
        <v>2694</v>
      </c>
      <c r="P119" t="s">
        <v>27</v>
      </c>
      <c r="Q119" t="s">
        <v>29</v>
      </c>
      <c r="R119" t="s">
        <v>427</v>
      </c>
      <c r="S119">
        <v>484.029</v>
      </c>
      <c r="T119">
        <v>6</v>
      </c>
      <c r="U119">
        <v>0.35</v>
      </c>
      <c r="V119">
        <v>29.70900000000006</v>
      </c>
      <c r="W119" s="3">
        <v>54.96</v>
      </c>
      <c r="X119" t="s">
        <v>934</v>
      </c>
    </row>
    <row r="120" spans="1:24" x14ac:dyDescent="0.25">
      <c r="A120">
        <v>22695</v>
      </c>
      <c r="B120" t="s">
        <v>1977</v>
      </c>
      <c r="C120" s="1">
        <v>41957</v>
      </c>
      <c r="D120" s="1">
        <v>41959</v>
      </c>
      <c r="E120" t="s">
        <v>43</v>
      </c>
      <c r="F120" t="s">
        <v>1114</v>
      </c>
      <c r="G120" t="s">
        <v>639</v>
      </c>
      <c r="H120" t="s">
        <v>20</v>
      </c>
      <c r="I120" t="s">
        <v>906</v>
      </c>
      <c r="J120" t="s">
        <v>902</v>
      </c>
      <c r="K120" t="s">
        <v>903</v>
      </c>
      <c r="M120" t="s">
        <v>2991</v>
      </c>
      <c r="N120" t="s">
        <v>946</v>
      </c>
      <c r="O120" t="s">
        <v>2732</v>
      </c>
      <c r="P120" t="s">
        <v>27</v>
      </c>
      <c r="Q120" t="s">
        <v>936</v>
      </c>
      <c r="R120" t="s">
        <v>298</v>
      </c>
      <c r="S120">
        <v>481.1400000000001</v>
      </c>
      <c r="T120">
        <v>6</v>
      </c>
      <c r="U120">
        <v>0.25</v>
      </c>
      <c r="V120">
        <v>-77.04000000000002</v>
      </c>
      <c r="W120" s="3">
        <v>95.43</v>
      </c>
      <c r="X120" t="s">
        <v>931</v>
      </c>
    </row>
    <row r="121" spans="1:24" x14ac:dyDescent="0.25">
      <c r="A121">
        <v>26073</v>
      </c>
      <c r="B121" t="s">
        <v>2171</v>
      </c>
      <c r="C121" s="1">
        <v>41501</v>
      </c>
      <c r="D121" s="1">
        <v>41503</v>
      </c>
      <c r="E121" t="s">
        <v>47</v>
      </c>
      <c r="F121" t="s">
        <v>989</v>
      </c>
      <c r="G121" t="s">
        <v>867</v>
      </c>
      <c r="H121" t="s">
        <v>20</v>
      </c>
      <c r="I121" t="s">
        <v>220</v>
      </c>
      <c r="J121" t="s">
        <v>919</v>
      </c>
      <c r="K121" t="s">
        <v>903</v>
      </c>
      <c r="M121" t="s">
        <v>2991</v>
      </c>
      <c r="N121" t="s">
        <v>946</v>
      </c>
      <c r="O121" t="s">
        <v>2900</v>
      </c>
      <c r="P121" t="s">
        <v>31</v>
      </c>
      <c r="Q121" t="s">
        <v>943</v>
      </c>
      <c r="R121" t="s">
        <v>278</v>
      </c>
      <c r="S121">
        <v>466.12799999999993</v>
      </c>
      <c r="T121">
        <v>3</v>
      </c>
      <c r="U121">
        <v>0.35</v>
      </c>
      <c r="V121">
        <v>100.36800000000005</v>
      </c>
      <c r="W121" s="3">
        <v>6.48</v>
      </c>
      <c r="X121" t="s">
        <v>933</v>
      </c>
    </row>
    <row r="122" spans="1:24" x14ac:dyDescent="0.25">
      <c r="A122">
        <v>26216</v>
      </c>
      <c r="B122" t="s">
        <v>2182</v>
      </c>
      <c r="C122" s="1">
        <v>41801</v>
      </c>
      <c r="D122" s="1">
        <v>41804</v>
      </c>
      <c r="E122" t="s">
        <v>43</v>
      </c>
      <c r="F122" t="s">
        <v>1150</v>
      </c>
      <c r="G122" t="s">
        <v>662</v>
      </c>
      <c r="H122" t="s">
        <v>20</v>
      </c>
      <c r="I122" t="s">
        <v>906</v>
      </c>
      <c r="J122" t="s">
        <v>902</v>
      </c>
      <c r="K122" t="s">
        <v>903</v>
      </c>
      <c r="M122" t="s">
        <v>2991</v>
      </c>
      <c r="N122" t="s">
        <v>946</v>
      </c>
      <c r="O122" t="s">
        <v>2826</v>
      </c>
      <c r="P122" t="s">
        <v>31</v>
      </c>
      <c r="Q122" t="s">
        <v>943</v>
      </c>
      <c r="R122" t="s">
        <v>671</v>
      </c>
      <c r="S122">
        <v>463.31999999999994</v>
      </c>
      <c r="T122">
        <v>3</v>
      </c>
      <c r="U122">
        <v>0.35</v>
      </c>
      <c r="V122">
        <v>-121.22999999999996</v>
      </c>
      <c r="W122" s="3">
        <v>50.66</v>
      </c>
      <c r="X122" t="s">
        <v>933</v>
      </c>
    </row>
    <row r="123" spans="1:24" x14ac:dyDescent="0.25">
      <c r="A123">
        <v>24670</v>
      </c>
      <c r="B123" t="s">
        <v>2091</v>
      </c>
      <c r="C123" s="1">
        <v>42433</v>
      </c>
      <c r="D123" s="1">
        <v>42438</v>
      </c>
      <c r="E123" t="s">
        <v>43</v>
      </c>
      <c r="F123" t="s">
        <v>1028</v>
      </c>
      <c r="G123" t="s">
        <v>754</v>
      </c>
      <c r="H123" t="s">
        <v>37</v>
      </c>
      <c r="I123" t="s">
        <v>914</v>
      </c>
      <c r="J123" t="s">
        <v>915</v>
      </c>
      <c r="K123" t="s">
        <v>903</v>
      </c>
      <c r="M123" t="s">
        <v>2991</v>
      </c>
      <c r="N123" t="s">
        <v>946</v>
      </c>
      <c r="O123" t="s">
        <v>2588</v>
      </c>
      <c r="P123" t="s">
        <v>31</v>
      </c>
      <c r="Q123" t="s">
        <v>943</v>
      </c>
      <c r="R123" t="s">
        <v>760</v>
      </c>
      <c r="S123">
        <v>463.22250000000008</v>
      </c>
      <c r="T123">
        <v>5</v>
      </c>
      <c r="U123">
        <v>0.35</v>
      </c>
      <c r="V123">
        <v>-35.677500000000038</v>
      </c>
      <c r="W123" s="3">
        <v>11.39</v>
      </c>
      <c r="X123" t="s">
        <v>933</v>
      </c>
    </row>
    <row r="124" spans="1:24" x14ac:dyDescent="0.25">
      <c r="A124">
        <v>23100</v>
      </c>
      <c r="B124" t="s">
        <v>2005</v>
      </c>
      <c r="C124" s="1">
        <v>41363</v>
      </c>
      <c r="D124" s="1">
        <v>41367</v>
      </c>
      <c r="E124" t="s">
        <v>19</v>
      </c>
      <c r="F124" t="s">
        <v>1230</v>
      </c>
      <c r="G124" t="s">
        <v>382</v>
      </c>
      <c r="H124" t="s">
        <v>20</v>
      </c>
      <c r="I124" t="s">
        <v>906</v>
      </c>
      <c r="J124" t="s">
        <v>902</v>
      </c>
      <c r="K124" t="s">
        <v>903</v>
      </c>
      <c r="M124" t="s">
        <v>2991</v>
      </c>
      <c r="N124" t="s">
        <v>946</v>
      </c>
      <c r="O124" t="s">
        <v>2890</v>
      </c>
      <c r="P124" t="s">
        <v>31</v>
      </c>
      <c r="Q124" t="s">
        <v>938</v>
      </c>
      <c r="R124" t="s">
        <v>893</v>
      </c>
      <c r="S124">
        <v>461.36250000000007</v>
      </c>
      <c r="T124">
        <v>5</v>
      </c>
      <c r="U124">
        <v>0.25</v>
      </c>
      <c r="V124">
        <v>-110.73750000000003</v>
      </c>
      <c r="W124" s="3">
        <v>28.45</v>
      </c>
      <c r="X124" t="s">
        <v>933</v>
      </c>
    </row>
    <row r="125" spans="1:24" x14ac:dyDescent="0.25">
      <c r="A125">
        <v>26724</v>
      </c>
      <c r="B125" t="s">
        <v>2217</v>
      </c>
      <c r="C125" s="1">
        <v>42032</v>
      </c>
      <c r="D125" s="1">
        <v>42034</v>
      </c>
      <c r="E125" t="s">
        <v>47</v>
      </c>
      <c r="F125" t="s">
        <v>1073</v>
      </c>
      <c r="G125" t="s">
        <v>444</v>
      </c>
      <c r="H125" t="s">
        <v>39</v>
      </c>
      <c r="I125" t="s">
        <v>906</v>
      </c>
      <c r="J125" t="s">
        <v>902</v>
      </c>
      <c r="K125" t="s">
        <v>903</v>
      </c>
      <c r="M125" t="s">
        <v>2991</v>
      </c>
      <c r="N125" t="s">
        <v>946</v>
      </c>
      <c r="O125" t="s">
        <v>2814</v>
      </c>
      <c r="P125" t="s">
        <v>31</v>
      </c>
      <c r="Q125" t="s">
        <v>943</v>
      </c>
      <c r="R125" t="s">
        <v>405</v>
      </c>
      <c r="S125">
        <v>460.98</v>
      </c>
      <c r="T125">
        <v>6</v>
      </c>
      <c r="U125">
        <v>0.35</v>
      </c>
      <c r="V125">
        <v>-241.19999999999993</v>
      </c>
      <c r="W125" s="3">
        <v>122.23</v>
      </c>
      <c r="X125" t="s">
        <v>931</v>
      </c>
    </row>
    <row r="126" spans="1:24" x14ac:dyDescent="0.25">
      <c r="A126">
        <v>29758</v>
      </c>
      <c r="B126" t="s">
        <v>2394</v>
      </c>
      <c r="C126" s="1">
        <v>42162</v>
      </c>
      <c r="D126" s="1">
        <v>42167</v>
      </c>
      <c r="E126" t="s">
        <v>19</v>
      </c>
      <c r="F126" t="s">
        <v>1083</v>
      </c>
      <c r="G126" t="s">
        <v>233</v>
      </c>
      <c r="H126" t="s">
        <v>20</v>
      </c>
      <c r="I126" t="s">
        <v>906</v>
      </c>
      <c r="J126" t="s">
        <v>902</v>
      </c>
      <c r="K126" t="s">
        <v>903</v>
      </c>
      <c r="M126" t="s">
        <v>2991</v>
      </c>
      <c r="N126" t="s">
        <v>946</v>
      </c>
      <c r="O126" t="s">
        <v>2929</v>
      </c>
      <c r="P126" t="s">
        <v>31</v>
      </c>
      <c r="Q126" t="s">
        <v>943</v>
      </c>
      <c r="R126" t="s">
        <v>849</v>
      </c>
      <c r="S126">
        <v>460.35599999999999</v>
      </c>
      <c r="T126">
        <v>2</v>
      </c>
      <c r="U126">
        <v>0.35</v>
      </c>
      <c r="V126">
        <v>-49.584000000000003</v>
      </c>
      <c r="W126" s="3">
        <v>20.149999999999999</v>
      </c>
      <c r="X126" t="s">
        <v>933</v>
      </c>
    </row>
    <row r="127" spans="1:24" x14ac:dyDescent="0.25">
      <c r="A127">
        <v>22968</v>
      </c>
      <c r="B127" t="s">
        <v>1994</v>
      </c>
      <c r="C127" s="1">
        <v>42530</v>
      </c>
      <c r="D127" s="1">
        <v>42534</v>
      </c>
      <c r="E127" t="s">
        <v>19</v>
      </c>
      <c r="F127" t="s">
        <v>1053</v>
      </c>
      <c r="G127" t="s">
        <v>451</v>
      </c>
      <c r="H127" t="s">
        <v>20</v>
      </c>
      <c r="I127" t="s">
        <v>909</v>
      </c>
      <c r="J127" t="s">
        <v>902</v>
      </c>
      <c r="K127" t="s">
        <v>903</v>
      </c>
      <c r="M127" t="s">
        <v>2991</v>
      </c>
      <c r="N127" t="s">
        <v>946</v>
      </c>
      <c r="O127" t="s">
        <v>2726</v>
      </c>
      <c r="P127" t="s">
        <v>22</v>
      </c>
      <c r="Q127" t="s">
        <v>50</v>
      </c>
      <c r="R127" t="s">
        <v>607</v>
      </c>
      <c r="S127">
        <v>457.54649999999998</v>
      </c>
      <c r="T127">
        <v>1</v>
      </c>
      <c r="U127">
        <v>0.15000000000000002</v>
      </c>
      <c r="V127">
        <v>134.56649999999999</v>
      </c>
      <c r="W127" s="3">
        <v>35</v>
      </c>
      <c r="X127" t="s">
        <v>931</v>
      </c>
    </row>
    <row r="128" spans="1:24" x14ac:dyDescent="0.25">
      <c r="A128">
        <v>25604</v>
      </c>
      <c r="B128" t="s">
        <v>2148</v>
      </c>
      <c r="C128" s="1">
        <v>41606</v>
      </c>
      <c r="D128" s="1">
        <v>41611</v>
      </c>
      <c r="E128" t="s">
        <v>19</v>
      </c>
      <c r="F128" t="s">
        <v>1347</v>
      </c>
      <c r="G128" t="s">
        <v>100</v>
      </c>
      <c r="H128" t="s">
        <v>20</v>
      </c>
      <c r="I128" t="s">
        <v>924</v>
      </c>
      <c r="J128" t="s">
        <v>911</v>
      </c>
      <c r="K128" t="s">
        <v>903</v>
      </c>
      <c r="M128" t="s">
        <v>2991</v>
      </c>
      <c r="N128" t="s">
        <v>946</v>
      </c>
      <c r="O128" t="s">
        <v>2799</v>
      </c>
      <c r="P128" t="s">
        <v>22</v>
      </c>
      <c r="Q128" t="s">
        <v>935</v>
      </c>
      <c r="R128" t="s">
        <v>310</v>
      </c>
      <c r="S128">
        <v>454.08</v>
      </c>
      <c r="T128">
        <v>4</v>
      </c>
      <c r="U128">
        <v>0.45</v>
      </c>
      <c r="V128">
        <v>-107.39999999999998</v>
      </c>
      <c r="W128" s="3">
        <v>22.73</v>
      </c>
      <c r="X128" t="s">
        <v>933</v>
      </c>
    </row>
    <row r="129" spans="1:24" x14ac:dyDescent="0.25">
      <c r="A129">
        <v>20864</v>
      </c>
      <c r="B129" t="s">
        <v>1871</v>
      </c>
      <c r="C129" s="1">
        <v>42391</v>
      </c>
      <c r="D129" s="1">
        <v>42395</v>
      </c>
      <c r="E129" t="s">
        <v>19</v>
      </c>
      <c r="F129" t="s">
        <v>976</v>
      </c>
      <c r="G129" t="s">
        <v>523</v>
      </c>
      <c r="H129" t="s">
        <v>20</v>
      </c>
      <c r="I129" t="s">
        <v>925</v>
      </c>
      <c r="J129" t="s">
        <v>911</v>
      </c>
      <c r="K129" t="s">
        <v>903</v>
      </c>
      <c r="M129" t="s">
        <v>2991</v>
      </c>
      <c r="N129" t="s">
        <v>946</v>
      </c>
      <c r="O129" t="s">
        <v>2612</v>
      </c>
      <c r="P129" t="s">
        <v>27</v>
      </c>
      <c r="Q129" t="s">
        <v>53</v>
      </c>
      <c r="R129" t="s">
        <v>886</v>
      </c>
      <c r="S129">
        <v>451.12950000000001</v>
      </c>
      <c r="T129">
        <v>3</v>
      </c>
      <c r="U129">
        <v>0.55000000000000004</v>
      </c>
      <c r="V129">
        <v>-150.43050000000017</v>
      </c>
      <c r="W129" s="3">
        <v>49.09</v>
      </c>
      <c r="X129" t="s">
        <v>933</v>
      </c>
    </row>
    <row r="130" spans="1:24" x14ac:dyDescent="0.25">
      <c r="A130">
        <v>22639</v>
      </c>
      <c r="B130" t="s">
        <v>1973</v>
      </c>
      <c r="C130" s="1">
        <v>42558</v>
      </c>
      <c r="D130" s="1">
        <v>42562</v>
      </c>
      <c r="E130" t="s">
        <v>19</v>
      </c>
      <c r="F130" t="s">
        <v>1069</v>
      </c>
      <c r="G130" t="s">
        <v>170</v>
      </c>
      <c r="H130" t="s">
        <v>20</v>
      </c>
      <c r="I130" t="s">
        <v>906</v>
      </c>
      <c r="J130" t="s">
        <v>902</v>
      </c>
      <c r="K130" t="s">
        <v>903</v>
      </c>
      <c r="M130" t="s">
        <v>2991</v>
      </c>
      <c r="N130" t="s">
        <v>946</v>
      </c>
      <c r="O130" t="s">
        <v>2798</v>
      </c>
      <c r="P130" t="s">
        <v>31</v>
      </c>
      <c r="Q130" t="s">
        <v>944</v>
      </c>
      <c r="R130" t="s">
        <v>384</v>
      </c>
      <c r="S130">
        <v>449.34749999999997</v>
      </c>
      <c r="T130">
        <v>9</v>
      </c>
      <c r="U130">
        <v>0.25</v>
      </c>
      <c r="V130">
        <v>-53.932499999999976</v>
      </c>
      <c r="W130" s="3">
        <v>14.39</v>
      </c>
      <c r="X130" t="s">
        <v>933</v>
      </c>
    </row>
    <row r="131" spans="1:24" x14ac:dyDescent="0.25">
      <c r="A131">
        <v>21440</v>
      </c>
      <c r="B131" t="s">
        <v>1899</v>
      </c>
      <c r="C131" s="1">
        <v>41281</v>
      </c>
      <c r="D131" s="1">
        <v>41285</v>
      </c>
      <c r="E131" t="s">
        <v>19</v>
      </c>
      <c r="F131" t="s">
        <v>1094</v>
      </c>
      <c r="G131" t="s">
        <v>372</v>
      </c>
      <c r="H131" t="s">
        <v>20</v>
      </c>
      <c r="I131" t="s">
        <v>906</v>
      </c>
      <c r="J131" t="s">
        <v>902</v>
      </c>
      <c r="K131" t="s">
        <v>903</v>
      </c>
      <c r="M131" t="s">
        <v>2991</v>
      </c>
      <c r="N131" t="s">
        <v>946</v>
      </c>
      <c r="O131" t="s">
        <v>2656</v>
      </c>
      <c r="P131" t="s">
        <v>31</v>
      </c>
      <c r="Q131" t="s">
        <v>938</v>
      </c>
      <c r="R131" t="s">
        <v>872</v>
      </c>
      <c r="S131">
        <v>445.41</v>
      </c>
      <c r="T131">
        <v>7</v>
      </c>
      <c r="U131">
        <v>0.25</v>
      </c>
      <c r="V131">
        <v>-136.71</v>
      </c>
      <c r="W131" s="3">
        <v>46.97</v>
      </c>
      <c r="X131" t="s">
        <v>931</v>
      </c>
    </row>
    <row r="132" spans="1:24" x14ac:dyDescent="0.25">
      <c r="A132">
        <v>26966</v>
      </c>
      <c r="B132" t="s">
        <v>2231</v>
      </c>
      <c r="C132" s="1">
        <v>42625</v>
      </c>
      <c r="D132" s="1">
        <v>42631</v>
      </c>
      <c r="E132" t="s">
        <v>19</v>
      </c>
      <c r="F132" t="s">
        <v>1335</v>
      </c>
      <c r="G132" t="s">
        <v>431</v>
      </c>
      <c r="H132" t="s">
        <v>20</v>
      </c>
      <c r="I132" t="s">
        <v>914</v>
      </c>
      <c r="J132" t="s">
        <v>915</v>
      </c>
      <c r="K132" t="s">
        <v>903</v>
      </c>
      <c r="M132" t="s">
        <v>2991</v>
      </c>
      <c r="N132" t="s">
        <v>946</v>
      </c>
      <c r="O132" t="s">
        <v>2576</v>
      </c>
      <c r="P132" t="s">
        <v>27</v>
      </c>
      <c r="Q132" t="s">
        <v>939</v>
      </c>
      <c r="R132" t="s">
        <v>631</v>
      </c>
      <c r="S132">
        <v>440.52749999999997</v>
      </c>
      <c r="T132">
        <v>7</v>
      </c>
      <c r="U132">
        <v>0.25</v>
      </c>
      <c r="V132">
        <v>140.85749999999993</v>
      </c>
      <c r="W132" s="3">
        <v>38.090000000000003</v>
      </c>
      <c r="X132" t="s">
        <v>933</v>
      </c>
    </row>
    <row r="133" spans="1:24" x14ac:dyDescent="0.25">
      <c r="A133">
        <v>28142</v>
      </c>
      <c r="B133" t="s">
        <v>2308</v>
      </c>
      <c r="C133" s="1">
        <v>42708</v>
      </c>
      <c r="D133" s="1">
        <v>42714</v>
      </c>
      <c r="E133" t="s">
        <v>19</v>
      </c>
      <c r="F133" t="s">
        <v>1138</v>
      </c>
      <c r="G133" t="s">
        <v>683</v>
      </c>
      <c r="H133" t="s">
        <v>20</v>
      </c>
      <c r="I133" t="s">
        <v>907</v>
      </c>
      <c r="J133" t="s">
        <v>902</v>
      </c>
      <c r="K133" t="s">
        <v>903</v>
      </c>
      <c r="M133" t="s">
        <v>2991</v>
      </c>
      <c r="N133" t="s">
        <v>946</v>
      </c>
      <c r="O133" t="s">
        <v>2591</v>
      </c>
      <c r="P133" t="s">
        <v>27</v>
      </c>
      <c r="Q133" t="s">
        <v>53</v>
      </c>
      <c r="R133" t="s">
        <v>908</v>
      </c>
      <c r="S133">
        <v>432.66149999999988</v>
      </c>
      <c r="T133">
        <v>3</v>
      </c>
      <c r="U133">
        <v>0.55000000000000004</v>
      </c>
      <c r="V133">
        <v>-394.25850000000003</v>
      </c>
      <c r="W133" s="3">
        <v>14.04</v>
      </c>
      <c r="X133" t="s">
        <v>933</v>
      </c>
    </row>
    <row r="134" spans="1:24" x14ac:dyDescent="0.25">
      <c r="A134">
        <v>20463</v>
      </c>
      <c r="B134" t="s">
        <v>1849</v>
      </c>
      <c r="C134" s="1">
        <v>42727</v>
      </c>
      <c r="D134" s="1">
        <v>42729</v>
      </c>
      <c r="E134" t="s">
        <v>43</v>
      </c>
      <c r="F134" t="s">
        <v>1070</v>
      </c>
      <c r="G134" t="s">
        <v>401</v>
      </c>
      <c r="H134" t="s">
        <v>20</v>
      </c>
      <c r="I134" t="s">
        <v>906</v>
      </c>
      <c r="J134" t="s">
        <v>902</v>
      </c>
      <c r="K134" t="s">
        <v>903</v>
      </c>
      <c r="M134" t="s">
        <v>2991</v>
      </c>
      <c r="N134" t="s">
        <v>946</v>
      </c>
      <c r="O134" t="s">
        <v>2507</v>
      </c>
      <c r="P134" t="s">
        <v>31</v>
      </c>
      <c r="Q134" t="s">
        <v>945</v>
      </c>
      <c r="R134" t="s">
        <v>538</v>
      </c>
      <c r="S134">
        <v>429.41250000000002</v>
      </c>
      <c r="T134">
        <v>3</v>
      </c>
      <c r="U134">
        <v>0.45</v>
      </c>
      <c r="V134">
        <v>-171.78749999999999</v>
      </c>
      <c r="W134" s="3">
        <v>38.57</v>
      </c>
      <c r="X134" t="s">
        <v>933</v>
      </c>
    </row>
    <row r="135" spans="1:24" x14ac:dyDescent="0.25">
      <c r="A135">
        <v>25284</v>
      </c>
      <c r="B135" t="s">
        <v>2126</v>
      </c>
      <c r="C135" s="1">
        <v>41617</v>
      </c>
      <c r="D135" s="1">
        <v>41621</v>
      </c>
      <c r="E135" t="s">
        <v>19</v>
      </c>
      <c r="F135" t="s">
        <v>1031</v>
      </c>
      <c r="G135" t="s">
        <v>345</v>
      </c>
      <c r="H135" t="s">
        <v>20</v>
      </c>
      <c r="I135" t="s">
        <v>906</v>
      </c>
      <c r="J135" t="s">
        <v>902</v>
      </c>
      <c r="K135" t="s">
        <v>903</v>
      </c>
      <c r="M135" t="s">
        <v>2991</v>
      </c>
      <c r="N135" t="s">
        <v>946</v>
      </c>
      <c r="O135" t="s">
        <v>2610</v>
      </c>
      <c r="P135" t="s">
        <v>31</v>
      </c>
      <c r="Q135" t="s">
        <v>938</v>
      </c>
      <c r="R135" t="s">
        <v>897</v>
      </c>
      <c r="S135">
        <v>428.17500000000001</v>
      </c>
      <c r="T135">
        <v>5</v>
      </c>
      <c r="U135">
        <v>0.25</v>
      </c>
      <c r="V135">
        <v>-51.525000000000006</v>
      </c>
      <c r="W135" s="3">
        <v>39.47</v>
      </c>
      <c r="X135" t="s">
        <v>933</v>
      </c>
    </row>
    <row r="136" spans="1:24" x14ac:dyDescent="0.25">
      <c r="A136">
        <v>29682</v>
      </c>
      <c r="B136" t="s">
        <v>2388</v>
      </c>
      <c r="C136" s="1">
        <v>42444</v>
      </c>
      <c r="D136" s="1">
        <v>42450</v>
      </c>
      <c r="E136" t="s">
        <v>19</v>
      </c>
      <c r="F136" t="s">
        <v>1360</v>
      </c>
      <c r="G136" t="s">
        <v>218</v>
      </c>
      <c r="H136" t="s">
        <v>20</v>
      </c>
      <c r="I136" t="s">
        <v>905</v>
      </c>
      <c r="J136" t="s">
        <v>902</v>
      </c>
      <c r="K136" t="s">
        <v>903</v>
      </c>
      <c r="M136" t="s">
        <v>2991</v>
      </c>
      <c r="N136" t="s">
        <v>946</v>
      </c>
      <c r="O136" t="s">
        <v>2876</v>
      </c>
      <c r="P136" t="s">
        <v>27</v>
      </c>
      <c r="Q136" t="s">
        <v>939</v>
      </c>
      <c r="R136" t="s">
        <v>491</v>
      </c>
      <c r="S136">
        <v>426.59999999999997</v>
      </c>
      <c r="T136">
        <v>12</v>
      </c>
      <c r="U136">
        <v>0.25</v>
      </c>
      <c r="V136">
        <v>-5.7599999999999909</v>
      </c>
      <c r="W136" s="3">
        <v>25.44</v>
      </c>
      <c r="X136" t="s">
        <v>933</v>
      </c>
    </row>
    <row r="137" spans="1:24" x14ac:dyDescent="0.25">
      <c r="A137">
        <v>25661</v>
      </c>
      <c r="B137" t="s">
        <v>2150</v>
      </c>
      <c r="C137" s="1">
        <v>42277</v>
      </c>
      <c r="D137" s="1">
        <v>42282</v>
      </c>
      <c r="E137" t="s">
        <v>43</v>
      </c>
      <c r="F137" t="s">
        <v>1186</v>
      </c>
      <c r="G137" t="s">
        <v>172</v>
      </c>
      <c r="H137" t="s">
        <v>39</v>
      </c>
      <c r="I137" t="s">
        <v>905</v>
      </c>
      <c r="J137" t="s">
        <v>902</v>
      </c>
      <c r="K137" t="s">
        <v>903</v>
      </c>
      <c r="M137" t="s">
        <v>2991</v>
      </c>
      <c r="N137" t="s">
        <v>946</v>
      </c>
      <c r="O137" t="s">
        <v>2970</v>
      </c>
      <c r="P137" t="s">
        <v>22</v>
      </c>
      <c r="Q137" t="s">
        <v>50</v>
      </c>
      <c r="R137" t="s">
        <v>616</v>
      </c>
      <c r="S137">
        <v>425.72250000000003</v>
      </c>
      <c r="T137">
        <v>9</v>
      </c>
      <c r="U137">
        <v>0.15000000000000002</v>
      </c>
      <c r="V137">
        <v>150.05250000000001</v>
      </c>
      <c r="W137" s="3">
        <v>0.43</v>
      </c>
      <c r="X137" t="s">
        <v>933</v>
      </c>
    </row>
    <row r="138" spans="1:24" x14ac:dyDescent="0.25">
      <c r="A138">
        <v>27167</v>
      </c>
      <c r="B138" t="s">
        <v>2249</v>
      </c>
      <c r="C138" s="1">
        <v>41923</v>
      </c>
      <c r="D138" s="1">
        <v>41930</v>
      </c>
      <c r="E138" t="s">
        <v>19</v>
      </c>
      <c r="F138" t="s">
        <v>972</v>
      </c>
      <c r="G138" t="s">
        <v>678</v>
      </c>
      <c r="H138" t="s">
        <v>39</v>
      </c>
      <c r="I138" t="s">
        <v>906</v>
      </c>
      <c r="J138" t="s">
        <v>902</v>
      </c>
      <c r="K138" t="s">
        <v>903</v>
      </c>
      <c r="M138" t="s">
        <v>2991</v>
      </c>
      <c r="N138" t="s">
        <v>946</v>
      </c>
      <c r="O138" t="s">
        <v>2987</v>
      </c>
      <c r="P138" t="s">
        <v>31</v>
      </c>
      <c r="Q138" t="s">
        <v>945</v>
      </c>
      <c r="R138" t="s">
        <v>540</v>
      </c>
      <c r="S138">
        <v>422.97750000000002</v>
      </c>
      <c r="T138">
        <v>3</v>
      </c>
      <c r="U138">
        <v>0.45</v>
      </c>
      <c r="V138">
        <v>-76.972500000000025</v>
      </c>
      <c r="W138" s="3">
        <v>15.46</v>
      </c>
      <c r="X138" t="s">
        <v>933</v>
      </c>
    </row>
    <row r="139" spans="1:24" x14ac:dyDescent="0.25">
      <c r="A139">
        <v>21221</v>
      </c>
      <c r="B139" t="s">
        <v>1889</v>
      </c>
      <c r="C139" s="1">
        <v>42274</v>
      </c>
      <c r="D139" s="1">
        <v>42279</v>
      </c>
      <c r="E139" t="s">
        <v>19</v>
      </c>
      <c r="F139" t="s">
        <v>1251</v>
      </c>
      <c r="G139" t="s">
        <v>223</v>
      </c>
      <c r="H139" t="s">
        <v>39</v>
      </c>
      <c r="I139" t="s">
        <v>901</v>
      </c>
      <c r="J139" t="s">
        <v>902</v>
      </c>
      <c r="K139" t="s">
        <v>903</v>
      </c>
      <c r="M139" t="s">
        <v>2991</v>
      </c>
      <c r="N139" t="s">
        <v>946</v>
      </c>
      <c r="O139" t="s">
        <v>2688</v>
      </c>
      <c r="P139" t="s">
        <v>31</v>
      </c>
      <c r="Q139" t="s">
        <v>938</v>
      </c>
      <c r="R139" t="s">
        <v>378</v>
      </c>
      <c r="S139">
        <v>416.745</v>
      </c>
      <c r="T139">
        <v>7</v>
      </c>
      <c r="U139">
        <v>0.25</v>
      </c>
      <c r="V139">
        <v>99.85499999999999</v>
      </c>
      <c r="W139" s="3">
        <v>25.49</v>
      </c>
      <c r="X139" t="s">
        <v>933</v>
      </c>
    </row>
    <row r="140" spans="1:24" x14ac:dyDescent="0.25">
      <c r="A140">
        <v>22081</v>
      </c>
      <c r="B140" t="s">
        <v>1937</v>
      </c>
      <c r="C140" s="1">
        <v>42071</v>
      </c>
      <c r="D140" s="1">
        <v>42073</v>
      </c>
      <c r="E140" t="s">
        <v>43</v>
      </c>
      <c r="F140" t="s">
        <v>1130</v>
      </c>
      <c r="G140" t="s">
        <v>657</v>
      </c>
      <c r="H140" t="s">
        <v>20</v>
      </c>
      <c r="I140" t="s">
        <v>907</v>
      </c>
      <c r="J140" t="s">
        <v>902</v>
      </c>
      <c r="K140" t="s">
        <v>903</v>
      </c>
      <c r="M140" t="s">
        <v>2991</v>
      </c>
      <c r="N140" t="s">
        <v>946</v>
      </c>
      <c r="O140" t="s">
        <v>2510</v>
      </c>
      <c r="P140" t="s">
        <v>31</v>
      </c>
      <c r="Q140" t="s">
        <v>943</v>
      </c>
      <c r="R140" t="s">
        <v>441</v>
      </c>
      <c r="S140">
        <v>414.10200000000003</v>
      </c>
      <c r="T140">
        <v>2</v>
      </c>
      <c r="U140">
        <v>0.35</v>
      </c>
      <c r="V140">
        <v>-31.877999999999986</v>
      </c>
      <c r="W140" s="3">
        <v>44.22</v>
      </c>
      <c r="X140" t="s">
        <v>931</v>
      </c>
    </row>
    <row r="141" spans="1:24" x14ac:dyDescent="0.25">
      <c r="A141">
        <v>23584</v>
      </c>
      <c r="B141" t="s">
        <v>2037</v>
      </c>
      <c r="C141" s="1">
        <v>41389</v>
      </c>
      <c r="D141" s="1">
        <v>41395</v>
      </c>
      <c r="E141" t="s">
        <v>19</v>
      </c>
      <c r="F141" t="s">
        <v>1179</v>
      </c>
      <c r="G141" t="s">
        <v>777</v>
      </c>
      <c r="H141" t="s">
        <v>20</v>
      </c>
      <c r="I141" t="s">
        <v>916</v>
      </c>
      <c r="J141" t="s">
        <v>911</v>
      </c>
      <c r="K141" t="s">
        <v>903</v>
      </c>
      <c r="M141" t="s">
        <v>2991</v>
      </c>
      <c r="N141" t="s">
        <v>946</v>
      </c>
      <c r="O141" t="s">
        <v>2912</v>
      </c>
      <c r="P141" t="s">
        <v>31</v>
      </c>
      <c r="Q141" t="s">
        <v>945</v>
      </c>
      <c r="R141" t="s">
        <v>833</v>
      </c>
      <c r="S141">
        <v>408.72149999999999</v>
      </c>
      <c r="T141">
        <v>3</v>
      </c>
      <c r="U141">
        <v>0.45</v>
      </c>
      <c r="V141">
        <v>-104.0985</v>
      </c>
      <c r="W141" s="3">
        <v>37.25</v>
      </c>
      <c r="X141" t="s">
        <v>933</v>
      </c>
    </row>
    <row r="142" spans="1:24" x14ac:dyDescent="0.25">
      <c r="A142">
        <v>27865</v>
      </c>
      <c r="B142" t="s">
        <v>2296</v>
      </c>
      <c r="C142" s="1">
        <v>41564</v>
      </c>
      <c r="D142" s="1">
        <v>41570</v>
      </c>
      <c r="E142" t="s">
        <v>19</v>
      </c>
      <c r="F142" t="s">
        <v>1193</v>
      </c>
      <c r="G142" t="s">
        <v>124</v>
      </c>
      <c r="H142" t="s">
        <v>20</v>
      </c>
      <c r="I142" t="s">
        <v>906</v>
      </c>
      <c r="J142" t="s">
        <v>902</v>
      </c>
      <c r="K142" t="s">
        <v>903</v>
      </c>
      <c r="M142" t="s">
        <v>2991</v>
      </c>
      <c r="N142" t="s">
        <v>946</v>
      </c>
      <c r="O142" t="s">
        <v>2565</v>
      </c>
      <c r="P142" t="s">
        <v>31</v>
      </c>
      <c r="Q142" t="s">
        <v>938</v>
      </c>
      <c r="R142" t="s">
        <v>705</v>
      </c>
      <c r="S142">
        <v>402.75000000000011</v>
      </c>
      <c r="T142">
        <v>2</v>
      </c>
      <c r="U142">
        <v>0.25</v>
      </c>
      <c r="V142">
        <v>-112.77000000000002</v>
      </c>
      <c r="W142" s="3">
        <v>26.43</v>
      </c>
      <c r="X142" t="s">
        <v>933</v>
      </c>
    </row>
    <row r="143" spans="1:24" x14ac:dyDescent="0.25">
      <c r="A143">
        <v>23653</v>
      </c>
      <c r="B143" t="s">
        <v>2040</v>
      </c>
      <c r="C143" s="1">
        <v>42238</v>
      </c>
      <c r="D143" s="1">
        <v>42240</v>
      </c>
      <c r="E143" t="s">
        <v>43</v>
      </c>
      <c r="F143" t="s">
        <v>1249</v>
      </c>
      <c r="G143" t="s">
        <v>352</v>
      </c>
      <c r="H143" t="s">
        <v>20</v>
      </c>
      <c r="I143" t="s">
        <v>916</v>
      </c>
      <c r="J143" t="s">
        <v>911</v>
      </c>
      <c r="K143" t="s">
        <v>903</v>
      </c>
      <c r="M143" t="s">
        <v>2991</v>
      </c>
      <c r="N143" t="s">
        <v>946</v>
      </c>
      <c r="O143" t="s">
        <v>2728</v>
      </c>
      <c r="P143" t="s">
        <v>31</v>
      </c>
      <c r="Q143" t="s">
        <v>944</v>
      </c>
      <c r="R143" t="s">
        <v>393</v>
      </c>
      <c r="S143">
        <v>399.57749999999993</v>
      </c>
      <c r="T143">
        <v>7</v>
      </c>
      <c r="U143">
        <v>0.25</v>
      </c>
      <c r="V143">
        <v>31.867500000000035</v>
      </c>
      <c r="W143" s="3">
        <v>66.349999999999994</v>
      </c>
      <c r="X143" t="s">
        <v>931</v>
      </c>
    </row>
    <row r="144" spans="1:24" x14ac:dyDescent="0.25">
      <c r="A144">
        <v>25693</v>
      </c>
      <c r="B144" t="s">
        <v>2152</v>
      </c>
      <c r="C144" s="1">
        <v>41895</v>
      </c>
      <c r="D144" s="1">
        <v>41900</v>
      </c>
      <c r="E144" t="s">
        <v>19</v>
      </c>
      <c r="F144" t="s">
        <v>1342</v>
      </c>
      <c r="G144" t="s">
        <v>322</v>
      </c>
      <c r="H144" t="s">
        <v>37</v>
      </c>
      <c r="I144" t="s">
        <v>901</v>
      </c>
      <c r="J144" t="s">
        <v>902</v>
      </c>
      <c r="K144" t="s">
        <v>903</v>
      </c>
      <c r="M144" t="s">
        <v>2991</v>
      </c>
      <c r="N144" t="s">
        <v>946</v>
      </c>
      <c r="O144" t="s">
        <v>2967</v>
      </c>
      <c r="P144" t="s">
        <v>31</v>
      </c>
      <c r="Q144" t="s">
        <v>944</v>
      </c>
      <c r="R144" t="s">
        <v>803</v>
      </c>
      <c r="S144">
        <v>396.495</v>
      </c>
      <c r="T144">
        <v>3</v>
      </c>
      <c r="U144">
        <v>0.25</v>
      </c>
      <c r="V144">
        <v>-21.194999999999993</v>
      </c>
      <c r="W144" s="3">
        <v>17.7</v>
      </c>
      <c r="X144" t="s">
        <v>933</v>
      </c>
    </row>
    <row r="145" spans="1:24" x14ac:dyDescent="0.25">
      <c r="A145">
        <v>28231</v>
      </c>
      <c r="B145" t="s">
        <v>2315</v>
      </c>
      <c r="C145" s="1">
        <v>42643</v>
      </c>
      <c r="D145" s="1">
        <v>42647</v>
      </c>
      <c r="E145" t="s">
        <v>43</v>
      </c>
      <c r="F145" t="s">
        <v>1326</v>
      </c>
      <c r="G145" t="s">
        <v>168</v>
      </c>
      <c r="H145" t="s">
        <v>37</v>
      </c>
      <c r="I145" t="s">
        <v>906</v>
      </c>
      <c r="J145" t="s">
        <v>902</v>
      </c>
      <c r="K145" t="s">
        <v>903</v>
      </c>
      <c r="M145" t="s">
        <v>2991</v>
      </c>
      <c r="N145" t="s">
        <v>946</v>
      </c>
      <c r="O145" t="s">
        <v>2989</v>
      </c>
      <c r="P145" t="s">
        <v>31</v>
      </c>
      <c r="Q145" t="s">
        <v>938</v>
      </c>
      <c r="R145" t="s">
        <v>835</v>
      </c>
      <c r="S145">
        <v>395.88750000000005</v>
      </c>
      <c r="T145">
        <v>3</v>
      </c>
      <c r="U145">
        <v>0.25</v>
      </c>
      <c r="V145">
        <v>-110.9025</v>
      </c>
      <c r="W145" s="3">
        <v>54.49</v>
      </c>
      <c r="X145" t="s">
        <v>931</v>
      </c>
    </row>
    <row r="146" spans="1:24" x14ac:dyDescent="0.25">
      <c r="A146">
        <v>20316</v>
      </c>
      <c r="B146" t="s">
        <v>1844</v>
      </c>
      <c r="C146" s="1">
        <v>42631</v>
      </c>
      <c r="D146" s="1">
        <v>42632</v>
      </c>
      <c r="E146" t="s">
        <v>47</v>
      </c>
      <c r="F146" t="s">
        <v>1182</v>
      </c>
      <c r="G146" t="s">
        <v>290</v>
      </c>
      <c r="H146" t="s">
        <v>20</v>
      </c>
      <c r="I146" t="s">
        <v>905</v>
      </c>
      <c r="J146" t="s">
        <v>902</v>
      </c>
      <c r="K146" t="s">
        <v>903</v>
      </c>
      <c r="M146" t="s">
        <v>2991</v>
      </c>
      <c r="N146" t="s">
        <v>946</v>
      </c>
      <c r="O146" t="s">
        <v>2461</v>
      </c>
      <c r="P146" t="s">
        <v>31</v>
      </c>
      <c r="Q146" t="s">
        <v>938</v>
      </c>
      <c r="R146" t="s">
        <v>816</v>
      </c>
      <c r="S146">
        <v>389.65499999999997</v>
      </c>
      <c r="T146">
        <v>2</v>
      </c>
      <c r="U146">
        <v>0.25</v>
      </c>
      <c r="V146">
        <v>-83.144999999999982</v>
      </c>
      <c r="W146" s="3">
        <v>89.79</v>
      </c>
      <c r="X146" t="s">
        <v>931</v>
      </c>
    </row>
    <row r="147" spans="1:24" x14ac:dyDescent="0.25">
      <c r="A147">
        <v>21441</v>
      </c>
      <c r="B147" t="s">
        <v>1899</v>
      </c>
      <c r="C147" s="1">
        <v>41281</v>
      </c>
      <c r="D147" s="1">
        <v>41285</v>
      </c>
      <c r="E147" t="s">
        <v>19</v>
      </c>
      <c r="F147" t="s">
        <v>1094</v>
      </c>
      <c r="G147" t="s">
        <v>372</v>
      </c>
      <c r="H147" t="s">
        <v>20</v>
      </c>
      <c r="I147" t="s">
        <v>906</v>
      </c>
      <c r="J147" t="s">
        <v>902</v>
      </c>
      <c r="K147" t="s">
        <v>903</v>
      </c>
      <c r="M147" t="s">
        <v>2991</v>
      </c>
      <c r="N147" t="s">
        <v>946</v>
      </c>
      <c r="O147" t="s">
        <v>1832</v>
      </c>
      <c r="P147" t="s">
        <v>31</v>
      </c>
      <c r="Q147" t="s">
        <v>938</v>
      </c>
      <c r="R147" t="s">
        <v>789</v>
      </c>
      <c r="S147">
        <v>387.51750000000004</v>
      </c>
      <c r="T147">
        <v>3</v>
      </c>
      <c r="U147">
        <v>0.25</v>
      </c>
      <c r="V147">
        <v>25.807499999999976</v>
      </c>
      <c r="W147" s="3">
        <v>26.2</v>
      </c>
      <c r="X147" t="s">
        <v>931</v>
      </c>
    </row>
    <row r="148" spans="1:24" x14ac:dyDescent="0.25">
      <c r="A148">
        <v>26082</v>
      </c>
      <c r="B148" t="s">
        <v>2173</v>
      </c>
      <c r="C148" s="1">
        <v>42421</v>
      </c>
      <c r="D148" s="1">
        <v>42427</v>
      </c>
      <c r="E148" t="s">
        <v>19</v>
      </c>
      <c r="F148" t="s">
        <v>1150</v>
      </c>
      <c r="G148" t="s">
        <v>662</v>
      </c>
      <c r="H148" t="s">
        <v>20</v>
      </c>
      <c r="I148" t="s">
        <v>910</v>
      </c>
      <c r="J148" t="s">
        <v>902</v>
      </c>
      <c r="K148" t="s">
        <v>903</v>
      </c>
      <c r="M148" t="s">
        <v>2991</v>
      </c>
      <c r="N148" t="s">
        <v>946</v>
      </c>
      <c r="O148" t="s">
        <v>2651</v>
      </c>
      <c r="P148" t="s">
        <v>27</v>
      </c>
      <c r="Q148" t="s">
        <v>939</v>
      </c>
      <c r="R148" t="s">
        <v>629</v>
      </c>
      <c r="S148">
        <v>384.48</v>
      </c>
      <c r="T148">
        <v>12</v>
      </c>
      <c r="U148">
        <v>0.25</v>
      </c>
      <c r="V148">
        <v>-123.11999999999999</v>
      </c>
      <c r="W148" s="3">
        <v>22.65</v>
      </c>
      <c r="X148" t="s">
        <v>933</v>
      </c>
    </row>
    <row r="149" spans="1:24" x14ac:dyDescent="0.25">
      <c r="A149">
        <v>21801</v>
      </c>
      <c r="B149" t="s">
        <v>1917</v>
      </c>
      <c r="C149" s="1">
        <v>42174</v>
      </c>
      <c r="D149" s="1">
        <v>42178</v>
      </c>
      <c r="E149" t="s">
        <v>19</v>
      </c>
      <c r="F149" t="s">
        <v>1127</v>
      </c>
      <c r="G149" t="s">
        <v>79</v>
      </c>
      <c r="H149" t="s">
        <v>20</v>
      </c>
      <c r="I149" t="s">
        <v>906</v>
      </c>
      <c r="J149" t="s">
        <v>902</v>
      </c>
      <c r="K149" t="s">
        <v>903</v>
      </c>
      <c r="M149" t="s">
        <v>2991</v>
      </c>
      <c r="N149" t="s">
        <v>946</v>
      </c>
      <c r="O149" t="s">
        <v>2774</v>
      </c>
      <c r="P149" t="s">
        <v>31</v>
      </c>
      <c r="Q149" t="s">
        <v>944</v>
      </c>
      <c r="R149" t="s">
        <v>574</v>
      </c>
      <c r="S149">
        <v>381.78000000000003</v>
      </c>
      <c r="T149">
        <v>3</v>
      </c>
      <c r="U149">
        <v>0.25</v>
      </c>
      <c r="V149">
        <v>91.620000000000019</v>
      </c>
      <c r="W149" s="3">
        <v>17.809999999999999</v>
      </c>
      <c r="X149" t="s">
        <v>933</v>
      </c>
    </row>
    <row r="150" spans="1:24" x14ac:dyDescent="0.25">
      <c r="A150">
        <v>21891</v>
      </c>
      <c r="B150" t="s">
        <v>1927</v>
      </c>
      <c r="C150" s="1">
        <v>41910</v>
      </c>
      <c r="D150" s="1">
        <v>41911</v>
      </c>
      <c r="E150" t="s">
        <v>47</v>
      </c>
      <c r="F150" t="s">
        <v>1282</v>
      </c>
      <c r="G150" t="s">
        <v>326</v>
      </c>
      <c r="H150" t="s">
        <v>37</v>
      </c>
      <c r="I150" t="s">
        <v>910</v>
      </c>
      <c r="J150" t="s">
        <v>902</v>
      </c>
      <c r="K150" t="s">
        <v>903</v>
      </c>
      <c r="M150" t="s">
        <v>2991</v>
      </c>
      <c r="N150" t="s">
        <v>946</v>
      </c>
      <c r="O150" t="s">
        <v>2737</v>
      </c>
      <c r="P150" t="s">
        <v>27</v>
      </c>
      <c r="Q150" t="s">
        <v>29</v>
      </c>
      <c r="R150" t="s">
        <v>822</v>
      </c>
      <c r="S150">
        <v>379.31400000000008</v>
      </c>
      <c r="T150">
        <v>4</v>
      </c>
      <c r="U150">
        <v>0.35</v>
      </c>
      <c r="V150">
        <v>-128.40600000000001</v>
      </c>
      <c r="W150" s="3">
        <v>46.84</v>
      </c>
      <c r="X150" t="s">
        <v>931</v>
      </c>
    </row>
    <row r="151" spans="1:24" x14ac:dyDescent="0.25">
      <c r="A151">
        <v>21069</v>
      </c>
      <c r="B151" t="s">
        <v>1881</v>
      </c>
      <c r="C151" s="1">
        <v>42324</v>
      </c>
      <c r="D151" s="1">
        <v>42329</v>
      </c>
      <c r="E151" t="s">
        <v>19</v>
      </c>
      <c r="F151" t="s">
        <v>1299</v>
      </c>
      <c r="G151" t="s">
        <v>615</v>
      </c>
      <c r="H151" t="s">
        <v>39</v>
      </c>
      <c r="I151" t="s">
        <v>906</v>
      </c>
      <c r="J151" t="s">
        <v>902</v>
      </c>
      <c r="K151" t="s">
        <v>903</v>
      </c>
      <c r="M151" t="s">
        <v>2991</v>
      </c>
      <c r="N151" t="s">
        <v>946</v>
      </c>
      <c r="O151" t="s">
        <v>2665</v>
      </c>
      <c r="P151" t="s">
        <v>31</v>
      </c>
      <c r="Q151" t="s">
        <v>943</v>
      </c>
      <c r="R151" t="s">
        <v>497</v>
      </c>
      <c r="S151">
        <v>378.90449999999998</v>
      </c>
      <c r="T151">
        <v>3</v>
      </c>
      <c r="U151">
        <v>0.35</v>
      </c>
      <c r="V151">
        <v>69.934500000000043</v>
      </c>
      <c r="W151" s="3">
        <v>23.9</v>
      </c>
      <c r="X151" t="s">
        <v>933</v>
      </c>
    </row>
    <row r="152" spans="1:24" x14ac:dyDescent="0.25">
      <c r="A152">
        <v>28417</v>
      </c>
      <c r="B152" t="s">
        <v>2325</v>
      </c>
      <c r="C152" s="1">
        <v>42502</v>
      </c>
      <c r="D152" s="1">
        <v>42506</v>
      </c>
      <c r="E152" t="s">
        <v>19</v>
      </c>
      <c r="F152" t="s">
        <v>1203</v>
      </c>
      <c r="G152" t="s">
        <v>758</v>
      </c>
      <c r="H152" t="s">
        <v>37</v>
      </c>
      <c r="I152" t="s">
        <v>906</v>
      </c>
      <c r="J152" t="s">
        <v>902</v>
      </c>
      <c r="K152" t="s">
        <v>903</v>
      </c>
      <c r="M152" t="s">
        <v>2991</v>
      </c>
      <c r="N152" t="s">
        <v>946</v>
      </c>
      <c r="O152" t="s">
        <v>2580</v>
      </c>
      <c r="P152" t="s">
        <v>31</v>
      </c>
      <c r="Q152" t="s">
        <v>944</v>
      </c>
      <c r="R152" t="s">
        <v>271</v>
      </c>
      <c r="S152">
        <v>378.27</v>
      </c>
      <c r="T152">
        <v>4</v>
      </c>
      <c r="U152">
        <v>0.25</v>
      </c>
      <c r="V152">
        <v>75.629999999999967</v>
      </c>
      <c r="W152" s="3">
        <v>28.01</v>
      </c>
      <c r="X152" t="s">
        <v>933</v>
      </c>
    </row>
    <row r="153" spans="1:24" x14ac:dyDescent="0.25">
      <c r="A153">
        <v>20906</v>
      </c>
      <c r="B153" t="s">
        <v>1874</v>
      </c>
      <c r="C153" s="1">
        <v>42573</v>
      </c>
      <c r="D153" s="1">
        <v>42578</v>
      </c>
      <c r="E153" t="s">
        <v>43</v>
      </c>
      <c r="F153" t="s">
        <v>1024</v>
      </c>
      <c r="G153" t="s">
        <v>775</v>
      </c>
      <c r="H153" t="s">
        <v>20</v>
      </c>
      <c r="I153" t="s">
        <v>906</v>
      </c>
      <c r="J153" t="s">
        <v>902</v>
      </c>
      <c r="K153" t="s">
        <v>903</v>
      </c>
      <c r="M153" t="s">
        <v>2991</v>
      </c>
      <c r="N153" t="s">
        <v>946</v>
      </c>
      <c r="O153" t="s">
        <v>2622</v>
      </c>
      <c r="P153" t="s">
        <v>31</v>
      </c>
      <c r="Q153" t="s">
        <v>944</v>
      </c>
      <c r="R153" t="s">
        <v>325</v>
      </c>
      <c r="S153">
        <v>378</v>
      </c>
      <c r="T153">
        <v>4</v>
      </c>
      <c r="U153">
        <v>0.25</v>
      </c>
      <c r="V153">
        <v>-20.159999999999997</v>
      </c>
      <c r="W153" s="3">
        <v>39.99</v>
      </c>
      <c r="X153" t="s">
        <v>933</v>
      </c>
    </row>
    <row r="154" spans="1:24" x14ac:dyDescent="0.25">
      <c r="A154">
        <v>20498</v>
      </c>
      <c r="B154" t="s">
        <v>1851</v>
      </c>
      <c r="C154" s="1">
        <v>41724</v>
      </c>
      <c r="D154" s="1">
        <v>41728</v>
      </c>
      <c r="E154" t="s">
        <v>19</v>
      </c>
      <c r="F154" t="s">
        <v>1237</v>
      </c>
      <c r="G154" t="s">
        <v>419</v>
      </c>
      <c r="H154" t="s">
        <v>37</v>
      </c>
      <c r="I154" t="s">
        <v>906</v>
      </c>
      <c r="J154" t="s">
        <v>902</v>
      </c>
      <c r="K154" t="s">
        <v>903</v>
      </c>
      <c r="M154" t="s">
        <v>2991</v>
      </c>
      <c r="N154" t="s">
        <v>946</v>
      </c>
      <c r="O154" t="s">
        <v>2525</v>
      </c>
      <c r="P154" t="s">
        <v>31</v>
      </c>
      <c r="Q154" t="s">
        <v>944</v>
      </c>
      <c r="R154" t="s">
        <v>200</v>
      </c>
      <c r="S154">
        <v>375.36749999999995</v>
      </c>
      <c r="T154">
        <v>3</v>
      </c>
      <c r="U154">
        <v>0.25</v>
      </c>
      <c r="V154">
        <v>29.947500000000005</v>
      </c>
      <c r="W154" s="3">
        <v>32.29</v>
      </c>
      <c r="X154" t="s">
        <v>931</v>
      </c>
    </row>
    <row r="155" spans="1:24" x14ac:dyDescent="0.25">
      <c r="A155">
        <v>21729</v>
      </c>
      <c r="B155" t="s">
        <v>1914</v>
      </c>
      <c r="C155" s="1">
        <v>42309</v>
      </c>
      <c r="D155" s="1">
        <v>42315</v>
      </c>
      <c r="E155" t="s">
        <v>19</v>
      </c>
      <c r="F155" t="s">
        <v>1100</v>
      </c>
      <c r="G155" t="s">
        <v>799</v>
      </c>
      <c r="H155" t="s">
        <v>39</v>
      </c>
      <c r="I155" t="s">
        <v>906</v>
      </c>
      <c r="J155" t="s">
        <v>902</v>
      </c>
      <c r="K155" t="s">
        <v>903</v>
      </c>
      <c r="M155" t="s">
        <v>2991</v>
      </c>
      <c r="N155" t="s">
        <v>946</v>
      </c>
      <c r="O155" t="s">
        <v>1831</v>
      </c>
      <c r="P155" t="s">
        <v>31</v>
      </c>
      <c r="Q155" t="s">
        <v>944</v>
      </c>
      <c r="R155" t="s">
        <v>883</v>
      </c>
      <c r="S155">
        <v>375.16500000000002</v>
      </c>
      <c r="T155">
        <v>3</v>
      </c>
      <c r="U155">
        <v>0.25</v>
      </c>
      <c r="V155">
        <v>65.024999999999977</v>
      </c>
      <c r="W155" s="3">
        <v>64.03</v>
      </c>
      <c r="X155" t="s">
        <v>934</v>
      </c>
    </row>
    <row r="156" spans="1:24" x14ac:dyDescent="0.25">
      <c r="A156">
        <v>26081</v>
      </c>
      <c r="B156" t="s">
        <v>2173</v>
      </c>
      <c r="C156" s="1">
        <v>42421</v>
      </c>
      <c r="D156" s="1">
        <v>42427</v>
      </c>
      <c r="E156" t="s">
        <v>19</v>
      </c>
      <c r="F156" t="s">
        <v>1150</v>
      </c>
      <c r="G156" t="s">
        <v>662</v>
      </c>
      <c r="H156" t="s">
        <v>20</v>
      </c>
      <c r="I156" t="s">
        <v>910</v>
      </c>
      <c r="J156" t="s">
        <v>902</v>
      </c>
      <c r="K156" t="s">
        <v>903</v>
      </c>
      <c r="M156" t="s">
        <v>2991</v>
      </c>
      <c r="N156" t="s">
        <v>946</v>
      </c>
      <c r="O156" t="s">
        <v>2831</v>
      </c>
      <c r="P156" t="s">
        <v>31</v>
      </c>
      <c r="Q156" t="s">
        <v>938</v>
      </c>
      <c r="R156" t="s">
        <v>865</v>
      </c>
      <c r="S156">
        <v>364.29750000000007</v>
      </c>
      <c r="T156">
        <v>3</v>
      </c>
      <c r="U156">
        <v>0.25</v>
      </c>
      <c r="V156">
        <v>67.927499999999966</v>
      </c>
      <c r="W156" s="3">
        <v>22.05</v>
      </c>
      <c r="X156" t="s">
        <v>933</v>
      </c>
    </row>
    <row r="157" spans="1:24" x14ac:dyDescent="0.25">
      <c r="A157">
        <v>20545</v>
      </c>
      <c r="B157" t="s">
        <v>1853</v>
      </c>
      <c r="C157" s="1">
        <v>41809</v>
      </c>
      <c r="D157" s="1">
        <v>41814</v>
      </c>
      <c r="E157" t="s">
        <v>19</v>
      </c>
      <c r="F157" t="s">
        <v>1273</v>
      </c>
      <c r="G157" t="s">
        <v>230</v>
      </c>
      <c r="H157" t="s">
        <v>37</v>
      </c>
      <c r="I157" t="s">
        <v>906</v>
      </c>
      <c r="J157" t="s">
        <v>902</v>
      </c>
      <c r="K157" t="s">
        <v>903</v>
      </c>
      <c r="M157" t="s">
        <v>2991</v>
      </c>
      <c r="N157" t="s">
        <v>946</v>
      </c>
      <c r="O157" t="s">
        <v>2537</v>
      </c>
      <c r="P157" t="s">
        <v>22</v>
      </c>
      <c r="Q157" t="s">
        <v>935</v>
      </c>
      <c r="R157" t="s">
        <v>234</v>
      </c>
      <c r="S157">
        <v>349.96500000000003</v>
      </c>
      <c r="T157">
        <v>3</v>
      </c>
      <c r="U157">
        <v>0.45</v>
      </c>
      <c r="V157">
        <v>-280.03500000000003</v>
      </c>
      <c r="W157" s="3">
        <v>35.369999999999997</v>
      </c>
      <c r="X157" t="s">
        <v>931</v>
      </c>
    </row>
    <row r="158" spans="1:24" x14ac:dyDescent="0.25">
      <c r="A158">
        <v>25843</v>
      </c>
      <c r="B158" t="s">
        <v>2160</v>
      </c>
      <c r="C158" s="1">
        <v>42244</v>
      </c>
      <c r="D158" s="1">
        <v>42251</v>
      </c>
      <c r="E158" t="s">
        <v>19</v>
      </c>
      <c r="F158" t="s">
        <v>1136</v>
      </c>
      <c r="G158" t="s">
        <v>661</v>
      </c>
      <c r="H158" t="s">
        <v>39</v>
      </c>
      <c r="I158" t="s">
        <v>907</v>
      </c>
      <c r="J158" t="s">
        <v>902</v>
      </c>
      <c r="K158" t="s">
        <v>903</v>
      </c>
      <c r="M158" t="s">
        <v>2991</v>
      </c>
      <c r="N158" t="s">
        <v>946</v>
      </c>
      <c r="O158" t="s">
        <v>2943</v>
      </c>
      <c r="P158" t="s">
        <v>27</v>
      </c>
      <c r="Q158" t="s">
        <v>936</v>
      </c>
      <c r="R158" t="s">
        <v>627</v>
      </c>
      <c r="S158">
        <v>347.28750000000002</v>
      </c>
      <c r="T158">
        <v>9</v>
      </c>
      <c r="U158">
        <v>0.25</v>
      </c>
      <c r="V158">
        <v>-46.372500000000016</v>
      </c>
      <c r="W158" s="3">
        <v>43.08</v>
      </c>
      <c r="X158" t="s">
        <v>934</v>
      </c>
    </row>
    <row r="159" spans="1:24" x14ac:dyDescent="0.25">
      <c r="A159">
        <v>24438</v>
      </c>
      <c r="B159" t="s">
        <v>2078</v>
      </c>
      <c r="C159" s="1">
        <v>42417</v>
      </c>
      <c r="D159" s="1">
        <v>42418</v>
      </c>
      <c r="E159" t="s">
        <v>47</v>
      </c>
      <c r="F159" t="s">
        <v>1021</v>
      </c>
      <c r="G159" t="s">
        <v>555</v>
      </c>
      <c r="H159" t="s">
        <v>20</v>
      </c>
      <c r="I159" t="s">
        <v>922</v>
      </c>
      <c r="J159" t="s">
        <v>923</v>
      </c>
      <c r="K159" t="s">
        <v>903</v>
      </c>
      <c r="M159" t="s">
        <v>2991</v>
      </c>
      <c r="N159" t="s">
        <v>946</v>
      </c>
      <c r="O159" t="s">
        <v>2791</v>
      </c>
      <c r="P159" t="s">
        <v>27</v>
      </c>
      <c r="Q159" t="s">
        <v>939</v>
      </c>
      <c r="R159" t="s">
        <v>798</v>
      </c>
      <c r="S159">
        <v>344.5424999999999</v>
      </c>
      <c r="T159">
        <v>1</v>
      </c>
      <c r="U159">
        <v>0.25</v>
      </c>
      <c r="V159">
        <v>-45.967499999999973</v>
      </c>
      <c r="W159" s="3">
        <v>81.81</v>
      </c>
      <c r="X159" t="s">
        <v>931</v>
      </c>
    </row>
    <row r="160" spans="1:24" x14ac:dyDescent="0.25">
      <c r="A160">
        <v>24208</v>
      </c>
      <c r="B160" t="s">
        <v>2065</v>
      </c>
      <c r="C160" s="1">
        <v>42521</v>
      </c>
      <c r="D160" s="1">
        <v>42526</v>
      </c>
      <c r="E160" t="s">
        <v>19</v>
      </c>
      <c r="F160" t="s">
        <v>1287</v>
      </c>
      <c r="G160" t="s">
        <v>397</v>
      </c>
      <c r="H160" t="s">
        <v>20</v>
      </c>
      <c r="I160" t="s">
        <v>906</v>
      </c>
      <c r="J160" t="s">
        <v>902</v>
      </c>
      <c r="K160" t="s">
        <v>903</v>
      </c>
      <c r="M160" t="s">
        <v>2991</v>
      </c>
      <c r="N160" t="s">
        <v>946</v>
      </c>
      <c r="O160" t="s">
        <v>2728</v>
      </c>
      <c r="P160" t="s">
        <v>31</v>
      </c>
      <c r="Q160" t="s">
        <v>944</v>
      </c>
      <c r="R160" t="s">
        <v>393</v>
      </c>
      <c r="S160">
        <v>342.49499999999995</v>
      </c>
      <c r="T160">
        <v>6</v>
      </c>
      <c r="U160">
        <v>0.25</v>
      </c>
      <c r="V160">
        <v>27.31500000000004</v>
      </c>
      <c r="W160" s="3">
        <v>22.46</v>
      </c>
      <c r="X160" t="s">
        <v>933</v>
      </c>
    </row>
    <row r="161" spans="1:24" x14ac:dyDescent="0.25">
      <c r="A161">
        <v>26362</v>
      </c>
      <c r="B161" t="s">
        <v>2198</v>
      </c>
      <c r="C161" s="1">
        <v>41277</v>
      </c>
      <c r="D161" s="1">
        <v>41281</v>
      </c>
      <c r="E161" t="s">
        <v>43</v>
      </c>
      <c r="F161" t="s">
        <v>1152</v>
      </c>
      <c r="G161" t="s">
        <v>151</v>
      </c>
      <c r="H161" t="s">
        <v>20</v>
      </c>
      <c r="I161" t="s">
        <v>906</v>
      </c>
      <c r="J161" t="s">
        <v>902</v>
      </c>
      <c r="K161" t="s">
        <v>903</v>
      </c>
      <c r="M161" t="s">
        <v>2991</v>
      </c>
      <c r="N161" t="s">
        <v>946</v>
      </c>
      <c r="O161" t="s">
        <v>2916</v>
      </c>
      <c r="P161" t="s">
        <v>22</v>
      </c>
      <c r="Q161" t="s">
        <v>935</v>
      </c>
      <c r="R161" t="s">
        <v>98</v>
      </c>
      <c r="S161">
        <v>337.6395</v>
      </c>
      <c r="T161">
        <v>3</v>
      </c>
      <c r="U161">
        <v>0.45</v>
      </c>
      <c r="V161">
        <v>-122.80049999999997</v>
      </c>
      <c r="W161" s="3">
        <v>33.75</v>
      </c>
      <c r="X161" t="s">
        <v>931</v>
      </c>
    </row>
    <row r="162" spans="1:24" x14ac:dyDescent="0.25">
      <c r="A162">
        <v>24230</v>
      </c>
      <c r="B162" t="s">
        <v>2069</v>
      </c>
      <c r="C162" s="1">
        <v>42165</v>
      </c>
      <c r="D162" s="1">
        <v>42169</v>
      </c>
      <c r="E162" t="s">
        <v>19</v>
      </c>
      <c r="F162" t="s">
        <v>1143</v>
      </c>
      <c r="G162" t="s">
        <v>414</v>
      </c>
      <c r="H162" t="s">
        <v>20</v>
      </c>
      <c r="I162" t="s">
        <v>906</v>
      </c>
      <c r="J162" t="s">
        <v>902</v>
      </c>
      <c r="K162" t="s">
        <v>903</v>
      </c>
      <c r="M162" t="s">
        <v>2991</v>
      </c>
      <c r="N162" t="s">
        <v>946</v>
      </c>
      <c r="O162" t="s">
        <v>2928</v>
      </c>
      <c r="P162" t="s">
        <v>27</v>
      </c>
      <c r="Q162" t="s">
        <v>29</v>
      </c>
      <c r="R162" t="s">
        <v>463</v>
      </c>
      <c r="S162">
        <v>335.1465</v>
      </c>
      <c r="T162">
        <v>3</v>
      </c>
      <c r="U162">
        <v>0.35</v>
      </c>
      <c r="V162">
        <v>10.246500000000026</v>
      </c>
      <c r="W162" s="3">
        <v>48.86</v>
      </c>
      <c r="X162" t="s">
        <v>931</v>
      </c>
    </row>
    <row r="163" spans="1:24" x14ac:dyDescent="0.25">
      <c r="A163">
        <v>20785</v>
      </c>
      <c r="B163" t="s">
        <v>1866</v>
      </c>
      <c r="C163" s="1">
        <v>42734</v>
      </c>
      <c r="D163" s="1">
        <v>42007</v>
      </c>
      <c r="E163" t="s">
        <v>19</v>
      </c>
      <c r="F163" t="s">
        <v>1140</v>
      </c>
      <c r="G163" t="s">
        <v>481</v>
      </c>
      <c r="H163" t="s">
        <v>20</v>
      </c>
      <c r="I163" t="s">
        <v>901</v>
      </c>
      <c r="J163" t="s">
        <v>902</v>
      </c>
      <c r="K163" t="s">
        <v>903</v>
      </c>
      <c r="M163" t="s">
        <v>2991</v>
      </c>
      <c r="N163" t="s">
        <v>946</v>
      </c>
      <c r="O163" t="s">
        <v>2601</v>
      </c>
      <c r="P163" t="s">
        <v>31</v>
      </c>
      <c r="Q163" t="s">
        <v>943</v>
      </c>
      <c r="R163" t="s">
        <v>712</v>
      </c>
      <c r="S163">
        <v>333.62549999999999</v>
      </c>
      <c r="T163">
        <v>3</v>
      </c>
      <c r="U163">
        <v>0.35</v>
      </c>
      <c r="V163">
        <v>-56.524499999999961</v>
      </c>
      <c r="W163" s="3">
        <v>32.97</v>
      </c>
      <c r="X163" t="s">
        <v>931</v>
      </c>
    </row>
    <row r="164" spans="1:24" x14ac:dyDescent="0.25">
      <c r="A164">
        <v>29824</v>
      </c>
      <c r="B164" t="s">
        <v>2397</v>
      </c>
      <c r="C164" s="1">
        <v>41452</v>
      </c>
      <c r="D164" s="1">
        <v>41454</v>
      </c>
      <c r="E164" t="s">
        <v>47</v>
      </c>
      <c r="F164" t="s">
        <v>1001</v>
      </c>
      <c r="G164" t="s">
        <v>207</v>
      </c>
      <c r="H164" t="s">
        <v>37</v>
      </c>
      <c r="I164" t="s">
        <v>906</v>
      </c>
      <c r="J164" t="s">
        <v>902</v>
      </c>
      <c r="K164" t="s">
        <v>903</v>
      </c>
      <c r="M164" t="s">
        <v>2991</v>
      </c>
      <c r="N164" t="s">
        <v>946</v>
      </c>
      <c r="O164" t="s">
        <v>2947</v>
      </c>
      <c r="P164" t="s">
        <v>31</v>
      </c>
      <c r="Q164" t="s">
        <v>944</v>
      </c>
      <c r="R164" t="s">
        <v>580</v>
      </c>
      <c r="S164">
        <v>317.99249999999995</v>
      </c>
      <c r="T164">
        <v>3</v>
      </c>
      <c r="U164">
        <v>0.25</v>
      </c>
      <c r="V164">
        <v>16.942500000000024</v>
      </c>
      <c r="W164" s="3">
        <v>36.33</v>
      </c>
      <c r="X164" t="s">
        <v>931</v>
      </c>
    </row>
    <row r="165" spans="1:24" x14ac:dyDescent="0.25">
      <c r="A165">
        <v>21520</v>
      </c>
      <c r="B165" t="s">
        <v>1907</v>
      </c>
      <c r="C165" s="1">
        <v>41830</v>
      </c>
      <c r="D165" s="1">
        <v>41835</v>
      </c>
      <c r="E165" t="s">
        <v>19</v>
      </c>
      <c r="F165" t="s">
        <v>1113</v>
      </c>
      <c r="G165" t="s">
        <v>548</v>
      </c>
      <c r="H165" t="s">
        <v>39</v>
      </c>
      <c r="I165" t="s">
        <v>901</v>
      </c>
      <c r="J165" t="s">
        <v>902</v>
      </c>
      <c r="K165" t="s">
        <v>903</v>
      </c>
      <c r="M165" t="s">
        <v>2991</v>
      </c>
      <c r="N165" t="s">
        <v>946</v>
      </c>
      <c r="O165" t="s">
        <v>1527</v>
      </c>
      <c r="P165" t="s">
        <v>31</v>
      </c>
      <c r="Q165" t="s">
        <v>945</v>
      </c>
      <c r="R165" t="s">
        <v>466</v>
      </c>
      <c r="S165">
        <v>316.30499999999995</v>
      </c>
      <c r="T165">
        <v>5</v>
      </c>
      <c r="U165">
        <v>0.45</v>
      </c>
      <c r="V165">
        <v>-241.54499999999996</v>
      </c>
      <c r="W165" s="3">
        <v>28.83</v>
      </c>
      <c r="X165" t="s">
        <v>933</v>
      </c>
    </row>
    <row r="166" spans="1:24" x14ac:dyDescent="0.25">
      <c r="A166">
        <v>27853</v>
      </c>
      <c r="B166" t="s">
        <v>2294</v>
      </c>
      <c r="C166" s="1">
        <v>42013</v>
      </c>
      <c r="D166" s="1">
        <v>42016</v>
      </c>
      <c r="E166" t="s">
        <v>47</v>
      </c>
      <c r="F166" t="s">
        <v>1020</v>
      </c>
      <c r="G166" t="s">
        <v>763</v>
      </c>
      <c r="H166" t="s">
        <v>20</v>
      </c>
      <c r="I166" t="s">
        <v>912</v>
      </c>
      <c r="J166" t="s">
        <v>913</v>
      </c>
      <c r="K166" t="s">
        <v>903</v>
      </c>
      <c r="M166" t="s">
        <v>2991</v>
      </c>
      <c r="N166" t="s">
        <v>946</v>
      </c>
      <c r="O166" t="s">
        <v>2559</v>
      </c>
      <c r="P166" t="s">
        <v>22</v>
      </c>
      <c r="Q166" t="s">
        <v>935</v>
      </c>
      <c r="R166" t="s">
        <v>150</v>
      </c>
      <c r="S166">
        <v>312.57600000000008</v>
      </c>
      <c r="T166">
        <v>4</v>
      </c>
      <c r="U166">
        <v>0.45</v>
      </c>
      <c r="V166">
        <v>-210.38400000000001</v>
      </c>
      <c r="W166" s="3">
        <v>64.09</v>
      </c>
      <c r="X166" t="s">
        <v>933</v>
      </c>
    </row>
    <row r="167" spans="1:24" x14ac:dyDescent="0.25">
      <c r="A167">
        <v>29356</v>
      </c>
      <c r="B167" t="s">
        <v>2373</v>
      </c>
      <c r="C167" s="1">
        <v>42688</v>
      </c>
      <c r="D167" s="1">
        <v>42692</v>
      </c>
      <c r="E167" t="s">
        <v>19</v>
      </c>
      <c r="F167" t="s">
        <v>1067</v>
      </c>
      <c r="G167" t="s">
        <v>572</v>
      </c>
      <c r="H167" t="s">
        <v>37</v>
      </c>
      <c r="I167" t="s">
        <v>916</v>
      </c>
      <c r="J167" t="s">
        <v>911</v>
      </c>
      <c r="K167" t="s">
        <v>903</v>
      </c>
      <c r="M167" t="s">
        <v>2991</v>
      </c>
      <c r="N167" t="s">
        <v>946</v>
      </c>
      <c r="O167" t="s">
        <v>2709</v>
      </c>
      <c r="P167" t="s">
        <v>31</v>
      </c>
      <c r="Q167" t="s">
        <v>944</v>
      </c>
      <c r="R167" t="s">
        <v>99</v>
      </c>
      <c r="S167">
        <v>311.78249999999997</v>
      </c>
      <c r="T167">
        <v>3</v>
      </c>
      <c r="U167">
        <v>0.25</v>
      </c>
      <c r="V167">
        <v>-45.787499999999994</v>
      </c>
      <c r="W167" s="3">
        <v>23.77</v>
      </c>
      <c r="X167" t="s">
        <v>933</v>
      </c>
    </row>
    <row r="168" spans="1:24" x14ac:dyDescent="0.25">
      <c r="A168">
        <v>21452</v>
      </c>
      <c r="B168" t="s">
        <v>1902</v>
      </c>
      <c r="C168" s="1">
        <v>41951</v>
      </c>
      <c r="D168" s="1">
        <v>41956</v>
      </c>
      <c r="E168" t="s">
        <v>19</v>
      </c>
      <c r="F168" t="s">
        <v>1248</v>
      </c>
      <c r="G168" t="s">
        <v>527</v>
      </c>
      <c r="H168" t="s">
        <v>39</v>
      </c>
      <c r="I168" t="s">
        <v>901</v>
      </c>
      <c r="J168" t="s">
        <v>902</v>
      </c>
      <c r="K168" t="s">
        <v>903</v>
      </c>
      <c r="M168" t="s">
        <v>2991</v>
      </c>
      <c r="N168" t="s">
        <v>946</v>
      </c>
      <c r="O168" t="s">
        <v>2503</v>
      </c>
      <c r="P168" t="s">
        <v>27</v>
      </c>
      <c r="Q168" t="s">
        <v>939</v>
      </c>
      <c r="R168" t="s">
        <v>637</v>
      </c>
      <c r="S168">
        <v>311.58000000000004</v>
      </c>
      <c r="T168">
        <v>3</v>
      </c>
      <c r="U168">
        <v>0.25</v>
      </c>
      <c r="V168">
        <v>45.629999999999995</v>
      </c>
      <c r="W168" s="3">
        <v>19.420000000000002</v>
      </c>
      <c r="X168" t="s">
        <v>933</v>
      </c>
    </row>
    <row r="169" spans="1:24" x14ac:dyDescent="0.25">
      <c r="A169">
        <v>24668</v>
      </c>
      <c r="B169" t="s">
        <v>2090</v>
      </c>
      <c r="C169" s="1">
        <v>42274</v>
      </c>
      <c r="D169" s="1">
        <v>42277</v>
      </c>
      <c r="E169" t="s">
        <v>43</v>
      </c>
      <c r="F169" t="s">
        <v>1265</v>
      </c>
      <c r="G169" t="s">
        <v>416</v>
      </c>
      <c r="H169" t="s">
        <v>20</v>
      </c>
      <c r="I169" t="s">
        <v>906</v>
      </c>
      <c r="J169" t="s">
        <v>902</v>
      </c>
      <c r="K169" t="s">
        <v>903</v>
      </c>
      <c r="M169" t="s">
        <v>2991</v>
      </c>
      <c r="N169" t="s">
        <v>946</v>
      </c>
      <c r="O169" t="s">
        <v>2943</v>
      </c>
      <c r="P169" t="s">
        <v>27</v>
      </c>
      <c r="Q169" t="s">
        <v>936</v>
      </c>
      <c r="R169" t="s">
        <v>627</v>
      </c>
      <c r="S169">
        <v>308.70000000000005</v>
      </c>
      <c r="T169">
        <v>8</v>
      </c>
      <c r="U169">
        <v>0.25</v>
      </c>
      <c r="V169">
        <v>-41.220000000000013</v>
      </c>
      <c r="W169" s="3">
        <v>36.43</v>
      </c>
      <c r="X169" t="s">
        <v>933</v>
      </c>
    </row>
    <row r="170" spans="1:24" x14ac:dyDescent="0.25">
      <c r="A170">
        <v>25340</v>
      </c>
      <c r="B170" t="s">
        <v>2131</v>
      </c>
      <c r="C170" s="1">
        <v>42315</v>
      </c>
      <c r="D170" s="1">
        <v>42319</v>
      </c>
      <c r="E170" t="s">
        <v>19</v>
      </c>
      <c r="F170" t="s">
        <v>1058</v>
      </c>
      <c r="G170" t="s">
        <v>694</v>
      </c>
      <c r="H170" t="s">
        <v>20</v>
      </c>
      <c r="I170" t="s">
        <v>906</v>
      </c>
      <c r="J170" t="s">
        <v>902</v>
      </c>
      <c r="K170" t="s">
        <v>903</v>
      </c>
      <c r="M170" t="s">
        <v>2991</v>
      </c>
      <c r="N170" t="s">
        <v>946</v>
      </c>
      <c r="O170" t="s">
        <v>2660</v>
      </c>
      <c r="P170" t="s">
        <v>31</v>
      </c>
      <c r="Q170" t="s">
        <v>938</v>
      </c>
      <c r="R170" t="s">
        <v>898</v>
      </c>
      <c r="S170">
        <v>307.46250000000003</v>
      </c>
      <c r="T170">
        <v>5</v>
      </c>
      <c r="U170">
        <v>0.25</v>
      </c>
      <c r="V170">
        <v>12.262500000000003</v>
      </c>
      <c r="W170" s="3">
        <v>52.4</v>
      </c>
      <c r="X170" t="s">
        <v>931</v>
      </c>
    </row>
    <row r="171" spans="1:24" x14ac:dyDescent="0.25">
      <c r="A171">
        <v>27499</v>
      </c>
      <c r="B171" t="s">
        <v>2278</v>
      </c>
      <c r="C171" s="1">
        <v>42384</v>
      </c>
      <c r="D171" s="1">
        <v>42384</v>
      </c>
      <c r="E171" t="s">
        <v>58</v>
      </c>
      <c r="F171" t="s">
        <v>1136</v>
      </c>
      <c r="G171" t="s">
        <v>661</v>
      </c>
      <c r="H171" t="s">
        <v>39</v>
      </c>
      <c r="I171" t="s">
        <v>901</v>
      </c>
      <c r="J171" t="s">
        <v>902</v>
      </c>
      <c r="K171" t="s">
        <v>903</v>
      </c>
      <c r="M171" t="s">
        <v>2991</v>
      </c>
      <c r="N171" t="s">
        <v>946</v>
      </c>
      <c r="O171" t="s">
        <v>2862</v>
      </c>
      <c r="P171" t="s">
        <v>27</v>
      </c>
      <c r="Q171" t="s">
        <v>936</v>
      </c>
      <c r="R171" t="s">
        <v>800</v>
      </c>
      <c r="S171">
        <v>305.39249999999998</v>
      </c>
      <c r="T171">
        <v>7</v>
      </c>
      <c r="U171">
        <v>0.25</v>
      </c>
      <c r="V171">
        <v>8.0325000000000131</v>
      </c>
      <c r="W171" s="3">
        <v>67.430000000000007</v>
      </c>
      <c r="X171" t="s">
        <v>931</v>
      </c>
    </row>
    <row r="172" spans="1:24" x14ac:dyDescent="0.25">
      <c r="A172">
        <v>26772</v>
      </c>
      <c r="B172" t="s">
        <v>2221</v>
      </c>
      <c r="C172" s="1">
        <v>42595</v>
      </c>
      <c r="D172" s="1">
        <v>42600</v>
      </c>
      <c r="E172" t="s">
        <v>19</v>
      </c>
      <c r="F172" t="s">
        <v>1469</v>
      </c>
      <c r="G172" t="s">
        <v>59</v>
      </c>
      <c r="H172" t="s">
        <v>37</v>
      </c>
      <c r="I172" t="s">
        <v>906</v>
      </c>
      <c r="J172" t="s">
        <v>902</v>
      </c>
      <c r="K172" t="s">
        <v>903</v>
      </c>
      <c r="M172" t="s">
        <v>2991</v>
      </c>
      <c r="N172" t="s">
        <v>946</v>
      </c>
      <c r="O172" t="s">
        <v>2879</v>
      </c>
      <c r="P172" t="s">
        <v>27</v>
      </c>
      <c r="Q172" t="s">
        <v>939</v>
      </c>
      <c r="R172" t="s">
        <v>410</v>
      </c>
      <c r="S172">
        <v>295.71749999999997</v>
      </c>
      <c r="T172">
        <v>3</v>
      </c>
      <c r="U172">
        <v>0.25</v>
      </c>
      <c r="V172">
        <v>-67.072499999999991</v>
      </c>
      <c r="W172" s="3">
        <v>56.13</v>
      </c>
      <c r="X172" t="s">
        <v>931</v>
      </c>
    </row>
    <row r="173" spans="1:24" x14ac:dyDescent="0.25">
      <c r="A173">
        <v>25988</v>
      </c>
      <c r="B173" t="s">
        <v>2165</v>
      </c>
      <c r="C173" s="1">
        <v>41864</v>
      </c>
      <c r="D173" s="1">
        <v>41869</v>
      </c>
      <c r="E173" t="s">
        <v>19</v>
      </c>
      <c r="F173" t="s">
        <v>973</v>
      </c>
      <c r="G173" t="s">
        <v>71</v>
      </c>
      <c r="H173" t="s">
        <v>20</v>
      </c>
      <c r="I173" t="s">
        <v>906</v>
      </c>
      <c r="J173" t="s">
        <v>902</v>
      </c>
      <c r="K173" t="s">
        <v>903</v>
      </c>
      <c r="M173" t="s">
        <v>2991</v>
      </c>
      <c r="N173" t="s">
        <v>946</v>
      </c>
      <c r="O173" t="s">
        <v>2899</v>
      </c>
      <c r="P173" t="s">
        <v>27</v>
      </c>
      <c r="Q173" t="s">
        <v>29</v>
      </c>
      <c r="R173" t="s">
        <v>259</v>
      </c>
      <c r="S173">
        <v>294.0795</v>
      </c>
      <c r="T173">
        <v>3</v>
      </c>
      <c r="U173">
        <v>0.35</v>
      </c>
      <c r="V173">
        <v>-85.990499999999997</v>
      </c>
      <c r="W173" s="3">
        <v>13.25</v>
      </c>
      <c r="X173" t="s">
        <v>933</v>
      </c>
    </row>
    <row r="174" spans="1:24" x14ac:dyDescent="0.25">
      <c r="A174">
        <v>22779</v>
      </c>
      <c r="B174" t="s">
        <v>1986</v>
      </c>
      <c r="C174" s="1">
        <v>42294</v>
      </c>
      <c r="D174" s="1">
        <v>42298</v>
      </c>
      <c r="E174" t="s">
        <v>19</v>
      </c>
      <c r="F174" t="s">
        <v>1367</v>
      </c>
      <c r="G174" t="s">
        <v>394</v>
      </c>
      <c r="H174" t="s">
        <v>39</v>
      </c>
      <c r="I174" t="s">
        <v>906</v>
      </c>
      <c r="J174" t="s">
        <v>902</v>
      </c>
      <c r="K174" t="s">
        <v>903</v>
      </c>
      <c r="M174" t="s">
        <v>2991</v>
      </c>
      <c r="N174" t="s">
        <v>946</v>
      </c>
      <c r="O174" t="s">
        <v>2871</v>
      </c>
      <c r="P174" t="s">
        <v>31</v>
      </c>
      <c r="Q174" t="s">
        <v>943</v>
      </c>
      <c r="R174" t="s">
        <v>853</v>
      </c>
      <c r="S174">
        <v>292.73400000000004</v>
      </c>
      <c r="T174">
        <v>3</v>
      </c>
      <c r="U174">
        <v>0.35</v>
      </c>
      <c r="V174">
        <v>-135.126</v>
      </c>
      <c r="W174" s="3">
        <v>19.8</v>
      </c>
      <c r="X174" t="s">
        <v>933</v>
      </c>
    </row>
    <row r="175" spans="1:24" x14ac:dyDescent="0.25">
      <c r="A175">
        <v>28592</v>
      </c>
      <c r="B175" t="s">
        <v>2333</v>
      </c>
      <c r="C175" s="1">
        <v>42666</v>
      </c>
      <c r="D175" s="1">
        <v>42671</v>
      </c>
      <c r="E175" t="s">
        <v>19</v>
      </c>
      <c r="F175" t="s">
        <v>1415</v>
      </c>
      <c r="G175" t="s">
        <v>413</v>
      </c>
      <c r="H175" t="s">
        <v>39</v>
      </c>
      <c r="I175" t="s">
        <v>909</v>
      </c>
      <c r="J175" t="s">
        <v>902</v>
      </c>
      <c r="K175" t="s">
        <v>903</v>
      </c>
      <c r="M175" t="s">
        <v>2991</v>
      </c>
      <c r="N175" t="s">
        <v>946</v>
      </c>
      <c r="O175" t="s">
        <v>2578</v>
      </c>
      <c r="P175" t="s">
        <v>22</v>
      </c>
      <c r="Q175" t="s">
        <v>940</v>
      </c>
      <c r="R175" t="s">
        <v>76</v>
      </c>
      <c r="S175">
        <v>286.90199999999999</v>
      </c>
      <c r="T175">
        <v>12</v>
      </c>
      <c r="U175">
        <v>0.45</v>
      </c>
      <c r="V175">
        <v>-203.77799999999999</v>
      </c>
      <c r="W175" s="3">
        <v>21.18</v>
      </c>
      <c r="X175" t="s">
        <v>933</v>
      </c>
    </row>
    <row r="176" spans="1:24" x14ac:dyDescent="0.25">
      <c r="A176">
        <v>23514</v>
      </c>
      <c r="B176" t="s">
        <v>2030</v>
      </c>
      <c r="C176" s="1">
        <v>41913</v>
      </c>
      <c r="D176" s="1">
        <v>41917</v>
      </c>
      <c r="E176" t="s">
        <v>19</v>
      </c>
      <c r="F176" t="s">
        <v>1153</v>
      </c>
      <c r="G176" t="s">
        <v>338</v>
      </c>
      <c r="H176" t="s">
        <v>39</v>
      </c>
      <c r="I176" t="s">
        <v>906</v>
      </c>
      <c r="J176" t="s">
        <v>902</v>
      </c>
      <c r="K176" t="s">
        <v>903</v>
      </c>
      <c r="M176" t="s">
        <v>2991</v>
      </c>
      <c r="N176" t="s">
        <v>946</v>
      </c>
      <c r="O176" t="s">
        <v>2546</v>
      </c>
      <c r="P176" t="s">
        <v>27</v>
      </c>
      <c r="Q176" t="s">
        <v>29</v>
      </c>
      <c r="R176" t="s">
        <v>603</v>
      </c>
      <c r="S176">
        <v>286.29899999999998</v>
      </c>
      <c r="T176">
        <v>3</v>
      </c>
      <c r="U176">
        <v>0.35</v>
      </c>
      <c r="V176">
        <v>-83.690999999999974</v>
      </c>
      <c r="W176" s="3">
        <v>23.1</v>
      </c>
      <c r="X176" t="s">
        <v>933</v>
      </c>
    </row>
    <row r="177" spans="1:24" x14ac:dyDescent="0.25">
      <c r="A177">
        <v>23067</v>
      </c>
      <c r="B177" t="s">
        <v>2001</v>
      </c>
      <c r="C177" s="1">
        <v>42223</v>
      </c>
      <c r="D177" s="1">
        <v>42225</v>
      </c>
      <c r="E177" t="s">
        <v>47</v>
      </c>
      <c r="F177" t="s">
        <v>1362</v>
      </c>
      <c r="G177" t="s">
        <v>617</v>
      </c>
      <c r="H177" t="s">
        <v>20</v>
      </c>
      <c r="I177" t="s">
        <v>906</v>
      </c>
      <c r="J177" t="s">
        <v>902</v>
      </c>
      <c r="K177" t="s">
        <v>903</v>
      </c>
      <c r="M177" t="s">
        <v>2991</v>
      </c>
      <c r="N177" t="s">
        <v>946</v>
      </c>
      <c r="O177" t="s">
        <v>2802</v>
      </c>
      <c r="P177" t="s">
        <v>31</v>
      </c>
      <c r="Q177" t="s">
        <v>945</v>
      </c>
      <c r="R177" t="s">
        <v>33</v>
      </c>
      <c r="S177">
        <v>281.75400000000008</v>
      </c>
      <c r="T177">
        <v>2</v>
      </c>
      <c r="U177">
        <v>0.45</v>
      </c>
      <c r="V177">
        <v>-117.84600000000003</v>
      </c>
      <c r="W177" s="3">
        <v>32.14</v>
      </c>
      <c r="X177" t="s">
        <v>931</v>
      </c>
    </row>
    <row r="178" spans="1:24" x14ac:dyDescent="0.25">
      <c r="A178">
        <v>22457</v>
      </c>
      <c r="B178" t="s">
        <v>1961</v>
      </c>
      <c r="C178" s="1">
        <v>42724</v>
      </c>
      <c r="D178" s="1">
        <v>42728</v>
      </c>
      <c r="E178" t="s">
        <v>19</v>
      </c>
      <c r="F178" t="s">
        <v>1436</v>
      </c>
      <c r="G178" t="s">
        <v>311</v>
      </c>
      <c r="H178" t="s">
        <v>39</v>
      </c>
      <c r="I178" t="s">
        <v>912</v>
      </c>
      <c r="J178" t="s">
        <v>913</v>
      </c>
      <c r="K178" t="s">
        <v>903</v>
      </c>
      <c r="M178" t="s">
        <v>2991</v>
      </c>
      <c r="N178" t="s">
        <v>946</v>
      </c>
      <c r="O178" t="s">
        <v>2839</v>
      </c>
      <c r="P178" t="s">
        <v>31</v>
      </c>
      <c r="Q178" t="s">
        <v>943</v>
      </c>
      <c r="R178" t="s">
        <v>236</v>
      </c>
      <c r="S178">
        <v>281.32650000000001</v>
      </c>
      <c r="T178">
        <v>3</v>
      </c>
      <c r="U178">
        <v>0.35</v>
      </c>
      <c r="V178">
        <v>-134.20349999999996</v>
      </c>
      <c r="W178" s="3">
        <v>35.99</v>
      </c>
      <c r="X178" t="s">
        <v>931</v>
      </c>
    </row>
    <row r="179" spans="1:24" x14ac:dyDescent="0.25">
      <c r="A179">
        <v>21805</v>
      </c>
      <c r="B179" t="s">
        <v>1920</v>
      </c>
      <c r="C179" s="1">
        <v>42651</v>
      </c>
      <c r="D179" s="1">
        <v>42653</v>
      </c>
      <c r="E179" t="s">
        <v>43</v>
      </c>
      <c r="F179" t="s">
        <v>1082</v>
      </c>
      <c r="G179" t="s">
        <v>248</v>
      </c>
      <c r="H179" t="s">
        <v>20</v>
      </c>
      <c r="I179" t="s">
        <v>906</v>
      </c>
      <c r="J179" t="s">
        <v>902</v>
      </c>
      <c r="K179" t="s">
        <v>903</v>
      </c>
      <c r="M179" t="s">
        <v>2991</v>
      </c>
      <c r="N179" t="s">
        <v>946</v>
      </c>
      <c r="O179" t="s">
        <v>2776</v>
      </c>
      <c r="P179" t="s">
        <v>31</v>
      </c>
      <c r="Q179" t="s">
        <v>943</v>
      </c>
      <c r="R179" t="s">
        <v>62</v>
      </c>
      <c r="S179">
        <v>281.15100000000007</v>
      </c>
      <c r="T179">
        <v>3</v>
      </c>
      <c r="U179">
        <v>0.35</v>
      </c>
      <c r="V179">
        <v>-95.229000000000013</v>
      </c>
      <c r="W179" s="3">
        <v>14.59</v>
      </c>
      <c r="X179" t="s">
        <v>933</v>
      </c>
    </row>
    <row r="180" spans="1:24" x14ac:dyDescent="0.25">
      <c r="A180">
        <v>25341</v>
      </c>
      <c r="B180" t="s">
        <v>2131</v>
      </c>
      <c r="C180" s="1">
        <v>42315</v>
      </c>
      <c r="D180" s="1">
        <v>42319</v>
      </c>
      <c r="E180" t="s">
        <v>19</v>
      </c>
      <c r="F180" t="s">
        <v>1058</v>
      </c>
      <c r="G180" t="s">
        <v>694</v>
      </c>
      <c r="H180" t="s">
        <v>20</v>
      </c>
      <c r="I180" t="s">
        <v>906</v>
      </c>
      <c r="J180" t="s">
        <v>902</v>
      </c>
      <c r="K180" t="s">
        <v>903</v>
      </c>
      <c r="M180" t="s">
        <v>2991</v>
      </c>
      <c r="N180" t="s">
        <v>946</v>
      </c>
      <c r="O180" t="s">
        <v>2718</v>
      </c>
      <c r="P180" t="s">
        <v>31</v>
      </c>
      <c r="Q180" t="s">
        <v>944</v>
      </c>
      <c r="R180" t="s">
        <v>707</v>
      </c>
      <c r="S180">
        <v>280.32749999999999</v>
      </c>
      <c r="T180">
        <v>3</v>
      </c>
      <c r="U180">
        <v>0.25</v>
      </c>
      <c r="V180">
        <v>-3.8024999999999807</v>
      </c>
      <c r="W180" s="3">
        <v>34.299999999999997</v>
      </c>
      <c r="X180" t="s">
        <v>931</v>
      </c>
    </row>
    <row r="181" spans="1:24" x14ac:dyDescent="0.25">
      <c r="A181">
        <v>28183</v>
      </c>
      <c r="B181" t="s">
        <v>2312</v>
      </c>
      <c r="C181" s="1">
        <v>41631</v>
      </c>
      <c r="D181" s="1">
        <v>41635</v>
      </c>
      <c r="E181" t="s">
        <v>19</v>
      </c>
      <c r="F181" t="s">
        <v>1241</v>
      </c>
      <c r="G181" t="s">
        <v>178</v>
      </c>
      <c r="H181" t="s">
        <v>20</v>
      </c>
      <c r="I181" t="s">
        <v>906</v>
      </c>
      <c r="J181" t="s">
        <v>902</v>
      </c>
      <c r="K181" t="s">
        <v>903</v>
      </c>
      <c r="M181" t="s">
        <v>2991</v>
      </c>
      <c r="N181" t="s">
        <v>946</v>
      </c>
      <c r="O181" t="s">
        <v>2930</v>
      </c>
      <c r="P181" t="s">
        <v>31</v>
      </c>
      <c r="Q181" t="s">
        <v>945</v>
      </c>
      <c r="R181" t="s">
        <v>795</v>
      </c>
      <c r="S181">
        <v>279.57600000000002</v>
      </c>
      <c r="T181">
        <v>2</v>
      </c>
      <c r="U181">
        <v>0.45</v>
      </c>
      <c r="V181">
        <v>-147.44399999999999</v>
      </c>
      <c r="W181" s="3">
        <v>18.95</v>
      </c>
      <c r="X181" t="s">
        <v>933</v>
      </c>
    </row>
    <row r="182" spans="1:24" x14ac:dyDescent="0.25">
      <c r="A182">
        <v>27486</v>
      </c>
      <c r="B182" t="s">
        <v>2276</v>
      </c>
      <c r="C182" s="1">
        <v>41823</v>
      </c>
      <c r="D182" s="1">
        <v>41827</v>
      </c>
      <c r="E182" t="s">
        <v>19</v>
      </c>
      <c r="F182" t="s">
        <v>1074</v>
      </c>
      <c r="G182" t="s">
        <v>65</v>
      </c>
      <c r="H182" t="s">
        <v>37</v>
      </c>
      <c r="I182" t="s">
        <v>914</v>
      </c>
      <c r="J182" t="s">
        <v>915</v>
      </c>
      <c r="K182" t="s">
        <v>903</v>
      </c>
      <c r="M182" t="s">
        <v>2991</v>
      </c>
      <c r="N182" t="s">
        <v>946</v>
      </c>
      <c r="O182" t="s">
        <v>2910</v>
      </c>
      <c r="P182" t="s">
        <v>27</v>
      </c>
      <c r="Q182" t="s">
        <v>939</v>
      </c>
      <c r="R182" t="s">
        <v>768</v>
      </c>
      <c r="S182">
        <v>279.33750000000003</v>
      </c>
      <c r="T182">
        <v>5</v>
      </c>
      <c r="U182">
        <v>0.25</v>
      </c>
      <c r="V182">
        <v>70.687499999999972</v>
      </c>
      <c r="W182" s="3">
        <v>24.21</v>
      </c>
      <c r="X182" t="s">
        <v>931</v>
      </c>
    </row>
    <row r="183" spans="1:24" x14ac:dyDescent="0.25">
      <c r="A183">
        <v>27387</v>
      </c>
      <c r="B183" t="s">
        <v>2268</v>
      </c>
      <c r="C183" s="1">
        <v>41459</v>
      </c>
      <c r="D183" s="1">
        <v>41462</v>
      </c>
      <c r="E183" t="s">
        <v>47</v>
      </c>
      <c r="F183" t="s">
        <v>1128</v>
      </c>
      <c r="G183" t="s">
        <v>834</v>
      </c>
      <c r="H183" t="s">
        <v>20</v>
      </c>
      <c r="I183" t="s">
        <v>921</v>
      </c>
      <c r="J183" t="s">
        <v>902</v>
      </c>
      <c r="K183" t="s">
        <v>903</v>
      </c>
      <c r="M183" t="s">
        <v>2991</v>
      </c>
      <c r="N183" t="s">
        <v>946</v>
      </c>
      <c r="O183" t="s">
        <v>2816</v>
      </c>
      <c r="P183" t="s">
        <v>22</v>
      </c>
      <c r="Q183" t="s">
        <v>940</v>
      </c>
      <c r="R183" t="s">
        <v>54</v>
      </c>
      <c r="S183">
        <v>278.85000000000008</v>
      </c>
      <c r="T183">
        <v>13</v>
      </c>
      <c r="U183">
        <v>0.45</v>
      </c>
      <c r="V183">
        <v>-141.96000000000006</v>
      </c>
      <c r="W183" s="3">
        <v>30.01</v>
      </c>
      <c r="X183" t="s">
        <v>931</v>
      </c>
    </row>
    <row r="184" spans="1:24" x14ac:dyDescent="0.25">
      <c r="A184">
        <v>21442</v>
      </c>
      <c r="B184" t="s">
        <v>1899</v>
      </c>
      <c r="C184" s="1">
        <v>41281</v>
      </c>
      <c r="D184" s="1">
        <v>41285</v>
      </c>
      <c r="E184" t="s">
        <v>19</v>
      </c>
      <c r="F184" t="s">
        <v>1094</v>
      </c>
      <c r="G184" t="s">
        <v>372</v>
      </c>
      <c r="H184" t="s">
        <v>20</v>
      </c>
      <c r="I184" t="s">
        <v>906</v>
      </c>
      <c r="J184" t="s">
        <v>902</v>
      </c>
      <c r="K184" t="s">
        <v>903</v>
      </c>
      <c r="M184" t="s">
        <v>2991</v>
      </c>
      <c r="N184" t="s">
        <v>946</v>
      </c>
      <c r="O184" t="s">
        <v>2719</v>
      </c>
      <c r="P184" t="s">
        <v>31</v>
      </c>
      <c r="Q184" t="s">
        <v>945</v>
      </c>
      <c r="R184" t="s">
        <v>769</v>
      </c>
      <c r="S184">
        <v>273.702</v>
      </c>
      <c r="T184">
        <v>2</v>
      </c>
      <c r="U184">
        <v>0.45</v>
      </c>
      <c r="V184">
        <v>-44.837999999999965</v>
      </c>
      <c r="W184" s="3">
        <v>42.19</v>
      </c>
      <c r="X184" t="s">
        <v>931</v>
      </c>
    </row>
    <row r="185" spans="1:24" x14ac:dyDescent="0.25">
      <c r="A185">
        <v>29455</v>
      </c>
      <c r="B185" t="s">
        <v>2379</v>
      </c>
      <c r="C185" s="1">
        <v>41453</v>
      </c>
      <c r="D185" s="1">
        <v>41457</v>
      </c>
      <c r="E185" t="s">
        <v>43</v>
      </c>
      <c r="F185" t="s">
        <v>1010</v>
      </c>
      <c r="G185" t="s">
        <v>670</v>
      </c>
      <c r="H185" t="s">
        <v>39</v>
      </c>
      <c r="I185" t="s">
        <v>906</v>
      </c>
      <c r="J185" t="s">
        <v>902</v>
      </c>
      <c r="K185" t="s">
        <v>903</v>
      </c>
      <c r="M185" t="s">
        <v>2991</v>
      </c>
      <c r="N185" t="s">
        <v>946</v>
      </c>
      <c r="O185" t="s">
        <v>2887</v>
      </c>
      <c r="P185" t="s">
        <v>27</v>
      </c>
      <c r="Q185" t="s">
        <v>936</v>
      </c>
      <c r="R185" t="s">
        <v>260</v>
      </c>
      <c r="S185">
        <v>272.78999999999996</v>
      </c>
      <c r="T185">
        <v>7</v>
      </c>
      <c r="U185">
        <v>0.25</v>
      </c>
      <c r="V185">
        <v>32.549999999999997</v>
      </c>
      <c r="W185" s="3">
        <v>15.38</v>
      </c>
      <c r="X185" t="s">
        <v>933</v>
      </c>
    </row>
    <row r="186" spans="1:24" x14ac:dyDescent="0.25">
      <c r="A186">
        <v>30052</v>
      </c>
      <c r="B186" t="s">
        <v>2416</v>
      </c>
      <c r="C186" s="1">
        <v>41488</v>
      </c>
      <c r="D186" s="1">
        <v>41494</v>
      </c>
      <c r="E186" t="s">
        <v>19</v>
      </c>
      <c r="F186" t="s">
        <v>1278</v>
      </c>
      <c r="G186" t="s">
        <v>344</v>
      </c>
      <c r="H186" t="s">
        <v>37</v>
      </c>
      <c r="I186" t="s">
        <v>906</v>
      </c>
      <c r="J186" t="s">
        <v>902</v>
      </c>
      <c r="K186" t="s">
        <v>903</v>
      </c>
      <c r="M186" t="s">
        <v>2991</v>
      </c>
      <c r="N186" t="s">
        <v>946</v>
      </c>
      <c r="O186" t="s">
        <v>2954</v>
      </c>
      <c r="P186" t="s">
        <v>31</v>
      </c>
      <c r="Q186" t="s">
        <v>938</v>
      </c>
      <c r="R186" t="s">
        <v>859</v>
      </c>
      <c r="S186">
        <v>262.93500000000006</v>
      </c>
      <c r="T186">
        <v>2</v>
      </c>
      <c r="U186">
        <v>0.25</v>
      </c>
      <c r="V186">
        <v>-66.64500000000001</v>
      </c>
      <c r="W186" s="3">
        <v>9.66</v>
      </c>
      <c r="X186" t="s">
        <v>933</v>
      </c>
    </row>
    <row r="187" spans="1:24" x14ac:dyDescent="0.25">
      <c r="A187">
        <v>26255</v>
      </c>
      <c r="B187" t="s">
        <v>2186</v>
      </c>
      <c r="C187" s="1">
        <v>41873</v>
      </c>
      <c r="D187" s="1">
        <v>41878</v>
      </c>
      <c r="E187" t="s">
        <v>19</v>
      </c>
      <c r="F187" t="s">
        <v>1054</v>
      </c>
      <c r="G187" t="s">
        <v>196</v>
      </c>
      <c r="H187" t="s">
        <v>20</v>
      </c>
      <c r="I187" t="s">
        <v>906</v>
      </c>
      <c r="J187" t="s">
        <v>902</v>
      </c>
      <c r="K187" t="s">
        <v>903</v>
      </c>
      <c r="M187" t="s">
        <v>2991</v>
      </c>
      <c r="N187" t="s">
        <v>946</v>
      </c>
      <c r="O187" t="s">
        <v>2939</v>
      </c>
      <c r="P187" t="s">
        <v>27</v>
      </c>
      <c r="Q187" t="s">
        <v>939</v>
      </c>
      <c r="R187" t="s">
        <v>77</v>
      </c>
      <c r="S187">
        <v>259.60500000000002</v>
      </c>
      <c r="T187">
        <v>6</v>
      </c>
      <c r="U187">
        <v>0.25</v>
      </c>
      <c r="V187">
        <v>72.585000000000008</v>
      </c>
      <c r="W187" s="3">
        <v>20.78</v>
      </c>
      <c r="X187" t="s">
        <v>933</v>
      </c>
    </row>
    <row r="188" spans="1:24" x14ac:dyDescent="0.25">
      <c r="A188">
        <v>25415</v>
      </c>
      <c r="B188" t="s">
        <v>2136</v>
      </c>
      <c r="C188" s="1">
        <v>41806</v>
      </c>
      <c r="D188" s="1">
        <v>41811</v>
      </c>
      <c r="E188" t="s">
        <v>19</v>
      </c>
      <c r="F188" t="s">
        <v>1141</v>
      </c>
      <c r="G188" t="s">
        <v>468</v>
      </c>
      <c r="H188" t="s">
        <v>37</v>
      </c>
      <c r="I188" t="s">
        <v>906</v>
      </c>
      <c r="J188" t="s">
        <v>902</v>
      </c>
      <c r="K188" t="s">
        <v>903</v>
      </c>
      <c r="M188" t="s">
        <v>2991</v>
      </c>
      <c r="N188" t="s">
        <v>946</v>
      </c>
      <c r="O188" t="s">
        <v>2952</v>
      </c>
      <c r="P188" t="s">
        <v>31</v>
      </c>
      <c r="Q188" t="s">
        <v>938</v>
      </c>
      <c r="R188" t="s">
        <v>389</v>
      </c>
      <c r="S188">
        <v>259.47000000000003</v>
      </c>
      <c r="T188">
        <v>2</v>
      </c>
      <c r="U188">
        <v>0.25</v>
      </c>
      <c r="V188">
        <v>34.589999999999989</v>
      </c>
      <c r="W188" s="3">
        <v>22.62</v>
      </c>
      <c r="X188" t="s">
        <v>931</v>
      </c>
    </row>
    <row r="189" spans="1:24" x14ac:dyDescent="0.25">
      <c r="A189">
        <v>25873</v>
      </c>
      <c r="B189" t="s">
        <v>2161</v>
      </c>
      <c r="C189" s="1">
        <v>42413</v>
      </c>
      <c r="D189" s="1">
        <v>42414</v>
      </c>
      <c r="E189" t="s">
        <v>47</v>
      </c>
      <c r="F189" t="s">
        <v>1293</v>
      </c>
      <c r="G189" t="s">
        <v>166</v>
      </c>
      <c r="H189" t="s">
        <v>37</v>
      </c>
      <c r="I189" t="s">
        <v>906</v>
      </c>
      <c r="J189" t="s">
        <v>902</v>
      </c>
      <c r="K189" t="s">
        <v>903</v>
      </c>
      <c r="M189" t="s">
        <v>2991</v>
      </c>
      <c r="N189" t="s">
        <v>946</v>
      </c>
      <c r="O189" t="s">
        <v>2861</v>
      </c>
      <c r="P189" t="s">
        <v>27</v>
      </c>
      <c r="Q189" t="s">
        <v>29</v>
      </c>
      <c r="R189" t="s">
        <v>140</v>
      </c>
      <c r="S189">
        <v>259.03800000000001</v>
      </c>
      <c r="T189">
        <v>2</v>
      </c>
      <c r="U189">
        <v>0.35</v>
      </c>
      <c r="V189">
        <v>-23.921999999999969</v>
      </c>
      <c r="W189" s="3">
        <v>28.99</v>
      </c>
      <c r="X189" t="s">
        <v>933</v>
      </c>
    </row>
    <row r="190" spans="1:24" x14ac:dyDescent="0.25">
      <c r="A190">
        <v>22327</v>
      </c>
      <c r="B190" t="s">
        <v>1951</v>
      </c>
      <c r="C190" s="1">
        <v>41888</v>
      </c>
      <c r="D190" s="1">
        <v>41893</v>
      </c>
      <c r="E190" t="s">
        <v>19</v>
      </c>
      <c r="F190" t="s">
        <v>1016</v>
      </c>
      <c r="G190" t="s">
        <v>598</v>
      </c>
      <c r="H190" t="s">
        <v>20</v>
      </c>
      <c r="I190" t="s">
        <v>906</v>
      </c>
      <c r="J190" t="s">
        <v>902</v>
      </c>
      <c r="K190" t="s">
        <v>903</v>
      </c>
      <c r="M190" t="s">
        <v>2991</v>
      </c>
      <c r="N190" t="s">
        <v>946</v>
      </c>
      <c r="O190" t="s">
        <v>2824</v>
      </c>
      <c r="P190" t="s">
        <v>31</v>
      </c>
      <c r="Q190" t="s">
        <v>938</v>
      </c>
      <c r="R190" t="s">
        <v>880</v>
      </c>
      <c r="S190">
        <v>258.93</v>
      </c>
      <c r="T190">
        <v>4</v>
      </c>
      <c r="U190">
        <v>0.25</v>
      </c>
      <c r="V190">
        <v>-48.39</v>
      </c>
      <c r="W190" s="3">
        <v>19</v>
      </c>
      <c r="X190" t="s">
        <v>933</v>
      </c>
    </row>
    <row r="191" spans="1:24" x14ac:dyDescent="0.25">
      <c r="A191">
        <v>28925</v>
      </c>
      <c r="B191" t="s">
        <v>2350</v>
      </c>
      <c r="C191" s="1">
        <v>41936</v>
      </c>
      <c r="D191" s="1">
        <v>41942</v>
      </c>
      <c r="E191" t="s">
        <v>19</v>
      </c>
      <c r="F191" t="s">
        <v>1002</v>
      </c>
      <c r="G191" t="s">
        <v>856</v>
      </c>
      <c r="H191" t="s">
        <v>20</v>
      </c>
      <c r="I191" t="s">
        <v>906</v>
      </c>
      <c r="J191" t="s">
        <v>902</v>
      </c>
      <c r="K191" t="s">
        <v>903</v>
      </c>
      <c r="M191" t="s">
        <v>2991</v>
      </c>
      <c r="N191" t="s">
        <v>946</v>
      </c>
      <c r="O191" t="s">
        <v>2761</v>
      </c>
      <c r="P191" t="s">
        <v>31</v>
      </c>
      <c r="Q191" t="s">
        <v>945</v>
      </c>
      <c r="R191" t="s">
        <v>209</v>
      </c>
      <c r="S191">
        <v>258.85200000000003</v>
      </c>
      <c r="T191">
        <v>8</v>
      </c>
      <c r="U191">
        <v>0.45</v>
      </c>
      <c r="V191">
        <v>-0.10800000000000409</v>
      </c>
      <c r="W191" s="3">
        <v>21.22</v>
      </c>
      <c r="X191" t="s">
        <v>933</v>
      </c>
    </row>
    <row r="192" spans="1:24" x14ac:dyDescent="0.25">
      <c r="A192">
        <v>20784</v>
      </c>
      <c r="B192" t="s">
        <v>1866</v>
      </c>
      <c r="C192" s="1">
        <v>42734</v>
      </c>
      <c r="D192" s="1">
        <v>42007</v>
      </c>
      <c r="E192" t="s">
        <v>19</v>
      </c>
      <c r="F192" t="s">
        <v>1140</v>
      </c>
      <c r="G192" t="s">
        <v>481</v>
      </c>
      <c r="H192" t="s">
        <v>20</v>
      </c>
      <c r="I192" t="s">
        <v>901</v>
      </c>
      <c r="J192" t="s">
        <v>902</v>
      </c>
      <c r="K192" t="s">
        <v>903</v>
      </c>
      <c r="M192" t="s">
        <v>2991</v>
      </c>
      <c r="N192" t="s">
        <v>946</v>
      </c>
      <c r="O192" t="s">
        <v>2600</v>
      </c>
      <c r="P192" t="s">
        <v>27</v>
      </c>
      <c r="Q192" t="s">
        <v>939</v>
      </c>
      <c r="R192" t="s">
        <v>567</v>
      </c>
      <c r="S192">
        <v>255.285</v>
      </c>
      <c r="T192">
        <v>2</v>
      </c>
      <c r="U192">
        <v>0.25</v>
      </c>
      <c r="V192">
        <v>-47.655000000000001</v>
      </c>
      <c r="W192" s="3">
        <v>31.33</v>
      </c>
      <c r="X192" t="s">
        <v>931</v>
      </c>
    </row>
    <row r="193" spans="1:24" x14ac:dyDescent="0.25">
      <c r="A193">
        <v>25337</v>
      </c>
      <c r="B193" t="s">
        <v>2131</v>
      </c>
      <c r="C193" s="1">
        <v>42315</v>
      </c>
      <c r="D193" s="1">
        <v>42319</v>
      </c>
      <c r="E193" t="s">
        <v>19</v>
      </c>
      <c r="F193" t="s">
        <v>1058</v>
      </c>
      <c r="G193" t="s">
        <v>694</v>
      </c>
      <c r="H193" t="s">
        <v>20</v>
      </c>
      <c r="I193" t="s">
        <v>906</v>
      </c>
      <c r="J193" t="s">
        <v>902</v>
      </c>
      <c r="K193" t="s">
        <v>903</v>
      </c>
      <c r="M193" t="s">
        <v>2991</v>
      </c>
      <c r="N193" t="s">
        <v>946</v>
      </c>
      <c r="O193" t="s">
        <v>2800</v>
      </c>
      <c r="P193" t="s">
        <v>27</v>
      </c>
      <c r="Q193" t="s">
        <v>939</v>
      </c>
      <c r="R193" t="s">
        <v>283</v>
      </c>
      <c r="S193">
        <v>253.53000000000003</v>
      </c>
      <c r="T193">
        <v>6</v>
      </c>
      <c r="U193">
        <v>0.25</v>
      </c>
      <c r="V193">
        <v>9.9899999999999949</v>
      </c>
      <c r="W193" s="3">
        <v>16.72</v>
      </c>
      <c r="X193" t="s">
        <v>931</v>
      </c>
    </row>
    <row r="194" spans="1:24" x14ac:dyDescent="0.25">
      <c r="A194">
        <v>27409</v>
      </c>
      <c r="B194" t="s">
        <v>2271</v>
      </c>
      <c r="C194" s="1">
        <v>41487</v>
      </c>
      <c r="D194" s="1">
        <v>41492</v>
      </c>
      <c r="E194" t="s">
        <v>19</v>
      </c>
      <c r="F194" t="s">
        <v>1202</v>
      </c>
      <c r="G194" t="s">
        <v>470</v>
      </c>
      <c r="H194" t="s">
        <v>20</v>
      </c>
      <c r="I194" t="s">
        <v>906</v>
      </c>
      <c r="J194" t="s">
        <v>902</v>
      </c>
      <c r="K194" t="s">
        <v>903</v>
      </c>
      <c r="M194" t="s">
        <v>2991</v>
      </c>
      <c r="N194" t="s">
        <v>946</v>
      </c>
      <c r="O194" t="s">
        <v>2951</v>
      </c>
      <c r="P194" t="s">
        <v>27</v>
      </c>
      <c r="Q194" t="s">
        <v>29</v>
      </c>
      <c r="R194" t="s">
        <v>676</v>
      </c>
      <c r="S194">
        <v>253.36350000000002</v>
      </c>
      <c r="T194">
        <v>1</v>
      </c>
      <c r="U194">
        <v>0.35</v>
      </c>
      <c r="V194">
        <v>-35.086500000000001</v>
      </c>
      <c r="W194" s="3">
        <v>10</v>
      </c>
      <c r="X194" t="s">
        <v>933</v>
      </c>
    </row>
    <row r="195" spans="1:24" x14ac:dyDescent="0.25">
      <c r="A195">
        <v>25272</v>
      </c>
      <c r="B195" t="s">
        <v>2125</v>
      </c>
      <c r="C195" s="1">
        <v>42636</v>
      </c>
      <c r="D195" s="1">
        <v>42642</v>
      </c>
      <c r="E195" t="s">
        <v>19</v>
      </c>
      <c r="F195" t="s">
        <v>1109</v>
      </c>
      <c r="G195" t="s">
        <v>701</v>
      </c>
      <c r="H195" t="s">
        <v>37</v>
      </c>
      <c r="I195" t="s">
        <v>921</v>
      </c>
      <c r="J195" t="s">
        <v>902</v>
      </c>
      <c r="K195" t="s">
        <v>903</v>
      </c>
      <c r="M195" t="s">
        <v>2991</v>
      </c>
      <c r="N195" t="s">
        <v>946</v>
      </c>
      <c r="O195" t="s">
        <v>2961</v>
      </c>
      <c r="P195" t="s">
        <v>27</v>
      </c>
      <c r="Q195" t="s">
        <v>939</v>
      </c>
      <c r="R195" t="s">
        <v>581</v>
      </c>
      <c r="S195">
        <v>251.91</v>
      </c>
      <c r="T195">
        <v>2</v>
      </c>
      <c r="U195">
        <v>0.25</v>
      </c>
      <c r="V195">
        <v>47.009999999999991</v>
      </c>
      <c r="W195" s="3">
        <v>23.31</v>
      </c>
      <c r="X195" t="s">
        <v>933</v>
      </c>
    </row>
    <row r="196" spans="1:24" x14ac:dyDescent="0.25">
      <c r="A196">
        <v>27149</v>
      </c>
      <c r="B196" t="s">
        <v>2247</v>
      </c>
      <c r="C196" s="1">
        <v>41603</v>
      </c>
      <c r="D196" s="1">
        <v>41608</v>
      </c>
      <c r="E196" t="s">
        <v>19</v>
      </c>
      <c r="F196" t="s">
        <v>1019</v>
      </c>
      <c r="G196" t="s">
        <v>828</v>
      </c>
      <c r="H196" t="s">
        <v>20</v>
      </c>
      <c r="I196" t="s">
        <v>918</v>
      </c>
      <c r="J196" t="s">
        <v>911</v>
      </c>
      <c r="K196" t="s">
        <v>903</v>
      </c>
      <c r="M196" t="s">
        <v>2991</v>
      </c>
      <c r="N196" t="s">
        <v>946</v>
      </c>
      <c r="O196" t="s">
        <v>2986</v>
      </c>
      <c r="P196" t="s">
        <v>31</v>
      </c>
      <c r="Q196" t="s">
        <v>943</v>
      </c>
      <c r="R196" t="s">
        <v>818</v>
      </c>
      <c r="S196">
        <v>250.61399999999998</v>
      </c>
      <c r="T196">
        <v>2</v>
      </c>
      <c r="U196">
        <v>0.35</v>
      </c>
      <c r="V196">
        <v>50.094000000000023</v>
      </c>
      <c r="W196" s="3">
        <v>14.6</v>
      </c>
      <c r="X196" t="s">
        <v>933</v>
      </c>
    </row>
    <row r="197" spans="1:24" x14ac:dyDescent="0.25">
      <c r="A197">
        <v>26730</v>
      </c>
      <c r="B197" t="s">
        <v>2217</v>
      </c>
      <c r="C197" s="1">
        <v>42032</v>
      </c>
      <c r="D197" s="1">
        <v>42034</v>
      </c>
      <c r="E197" t="s">
        <v>47</v>
      </c>
      <c r="F197" t="s">
        <v>1073</v>
      </c>
      <c r="G197" t="s">
        <v>444</v>
      </c>
      <c r="H197" t="s">
        <v>39</v>
      </c>
      <c r="I197" t="s">
        <v>906</v>
      </c>
      <c r="J197" t="s">
        <v>902</v>
      </c>
      <c r="K197" t="s">
        <v>903</v>
      </c>
      <c r="M197" t="s">
        <v>2991</v>
      </c>
      <c r="N197" t="s">
        <v>946</v>
      </c>
      <c r="O197" t="s">
        <v>2976</v>
      </c>
      <c r="P197" t="s">
        <v>31</v>
      </c>
      <c r="Q197" t="s">
        <v>943</v>
      </c>
      <c r="R197" t="s">
        <v>824</v>
      </c>
      <c r="S197">
        <v>250.26300000000003</v>
      </c>
      <c r="T197">
        <v>3</v>
      </c>
      <c r="U197">
        <v>0.35</v>
      </c>
      <c r="V197">
        <v>-7.7670000000000101</v>
      </c>
      <c r="W197" s="3">
        <v>39.93</v>
      </c>
      <c r="X197" t="s">
        <v>931</v>
      </c>
    </row>
    <row r="198" spans="1:24" x14ac:dyDescent="0.25">
      <c r="A198">
        <v>20322</v>
      </c>
      <c r="B198" t="s">
        <v>1846</v>
      </c>
      <c r="C198" s="1">
        <v>41519</v>
      </c>
      <c r="D198" s="1">
        <v>41525</v>
      </c>
      <c r="E198" t="s">
        <v>19</v>
      </c>
      <c r="F198" t="s">
        <v>1271</v>
      </c>
      <c r="G198" t="s">
        <v>827</v>
      </c>
      <c r="H198" t="s">
        <v>20</v>
      </c>
      <c r="I198" t="s">
        <v>909</v>
      </c>
      <c r="J198" t="s">
        <v>902</v>
      </c>
      <c r="K198" t="s">
        <v>903</v>
      </c>
      <c r="M198" t="s">
        <v>2991</v>
      </c>
      <c r="N198" t="s">
        <v>946</v>
      </c>
      <c r="O198" t="s">
        <v>2463</v>
      </c>
      <c r="P198" t="s">
        <v>27</v>
      </c>
      <c r="Q198" t="s">
        <v>939</v>
      </c>
      <c r="R198" t="s">
        <v>119</v>
      </c>
      <c r="S198">
        <v>249.84</v>
      </c>
      <c r="T198">
        <v>4</v>
      </c>
      <c r="U198">
        <v>0.25</v>
      </c>
      <c r="V198">
        <v>69.84</v>
      </c>
      <c r="W198" s="3">
        <v>50.32</v>
      </c>
      <c r="X198" t="s">
        <v>934</v>
      </c>
    </row>
    <row r="199" spans="1:24" x14ac:dyDescent="0.25">
      <c r="A199">
        <v>27505</v>
      </c>
      <c r="B199" t="s">
        <v>2279</v>
      </c>
      <c r="C199" s="1">
        <v>42250</v>
      </c>
      <c r="D199" s="1">
        <v>42255</v>
      </c>
      <c r="E199" t="s">
        <v>19</v>
      </c>
      <c r="F199" t="s">
        <v>1015</v>
      </c>
      <c r="G199" t="s">
        <v>134</v>
      </c>
      <c r="H199" t="s">
        <v>20</v>
      </c>
      <c r="I199" t="s">
        <v>906</v>
      </c>
      <c r="J199" t="s">
        <v>902</v>
      </c>
      <c r="K199" t="s">
        <v>903</v>
      </c>
      <c r="M199" t="s">
        <v>2991</v>
      </c>
      <c r="N199" t="s">
        <v>946</v>
      </c>
      <c r="O199" t="s">
        <v>2463</v>
      </c>
      <c r="P199" t="s">
        <v>27</v>
      </c>
      <c r="Q199" t="s">
        <v>939</v>
      </c>
      <c r="R199" t="s">
        <v>119</v>
      </c>
      <c r="S199">
        <v>249.84</v>
      </c>
      <c r="T199">
        <v>4</v>
      </c>
      <c r="U199">
        <v>0.25</v>
      </c>
      <c r="V199">
        <v>69.84</v>
      </c>
      <c r="W199" s="3">
        <v>18.66</v>
      </c>
      <c r="X199" t="s">
        <v>933</v>
      </c>
    </row>
    <row r="200" spans="1:24" x14ac:dyDescent="0.25">
      <c r="A200">
        <v>24206</v>
      </c>
      <c r="B200" t="s">
        <v>2065</v>
      </c>
      <c r="C200" s="1">
        <v>42521</v>
      </c>
      <c r="D200" s="1">
        <v>42526</v>
      </c>
      <c r="E200" t="s">
        <v>19</v>
      </c>
      <c r="F200" t="s">
        <v>1287</v>
      </c>
      <c r="G200" t="s">
        <v>397</v>
      </c>
      <c r="H200" t="s">
        <v>20</v>
      </c>
      <c r="I200" t="s">
        <v>906</v>
      </c>
      <c r="J200" t="s">
        <v>902</v>
      </c>
      <c r="K200" t="s">
        <v>903</v>
      </c>
      <c r="M200" t="s">
        <v>2991</v>
      </c>
      <c r="N200" t="s">
        <v>946</v>
      </c>
      <c r="O200" t="s">
        <v>1836</v>
      </c>
      <c r="P200" t="s">
        <v>31</v>
      </c>
      <c r="Q200" t="s">
        <v>943</v>
      </c>
      <c r="R200" t="s">
        <v>340</v>
      </c>
      <c r="S200">
        <v>248.93700000000001</v>
      </c>
      <c r="T200">
        <v>2</v>
      </c>
      <c r="U200">
        <v>0.35</v>
      </c>
      <c r="V200">
        <v>-61.323000000000008</v>
      </c>
      <c r="W200" s="3">
        <v>17.47</v>
      </c>
      <c r="X200" t="s">
        <v>933</v>
      </c>
    </row>
    <row r="201" spans="1:24" x14ac:dyDescent="0.25">
      <c r="A201">
        <v>24114</v>
      </c>
      <c r="B201" t="s">
        <v>2063</v>
      </c>
      <c r="C201" s="1">
        <v>41582</v>
      </c>
      <c r="D201" s="1">
        <v>41584</v>
      </c>
      <c r="E201" t="s">
        <v>43</v>
      </c>
      <c r="F201" t="s">
        <v>1213</v>
      </c>
      <c r="G201" t="s">
        <v>214</v>
      </c>
      <c r="H201" t="s">
        <v>20</v>
      </c>
      <c r="I201" t="s">
        <v>906</v>
      </c>
      <c r="J201" t="s">
        <v>902</v>
      </c>
      <c r="K201" t="s">
        <v>903</v>
      </c>
      <c r="M201" t="s">
        <v>2991</v>
      </c>
      <c r="N201" t="s">
        <v>946</v>
      </c>
      <c r="O201" t="s">
        <v>2876</v>
      </c>
      <c r="P201" t="s">
        <v>27</v>
      </c>
      <c r="Q201" t="s">
        <v>939</v>
      </c>
      <c r="R201" t="s">
        <v>491</v>
      </c>
      <c r="S201">
        <v>248.84999999999997</v>
      </c>
      <c r="T201">
        <v>7</v>
      </c>
      <c r="U201">
        <v>0.25</v>
      </c>
      <c r="V201">
        <v>-3.3599999999999994</v>
      </c>
      <c r="W201" s="3">
        <v>28.46</v>
      </c>
      <c r="X201" t="s">
        <v>931</v>
      </c>
    </row>
    <row r="202" spans="1:24" x14ac:dyDescent="0.25">
      <c r="A202">
        <v>23096</v>
      </c>
      <c r="B202" t="s">
        <v>2005</v>
      </c>
      <c r="C202" s="1">
        <v>41363</v>
      </c>
      <c r="D202" s="1">
        <v>41367</v>
      </c>
      <c r="E202" t="s">
        <v>19</v>
      </c>
      <c r="F202" t="s">
        <v>1230</v>
      </c>
      <c r="G202" t="s">
        <v>382</v>
      </c>
      <c r="H202" t="s">
        <v>20</v>
      </c>
      <c r="I202" t="s">
        <v>906</v>
      </c>
      <c r="J202" t="s">
        <v>902</v>
      </c>
      <c r="K202" t="s">
        <v>903</v>
      </c>
      <c r="M202" t="s">
        <v>2991</v>
      </c>
      <c r="N202" t="s">
        <v>946</v>
      </c>
      <c r="O202" t="s">
        <v>2729</v>
      </c>
      <c r="P202" t="s">
        <v>31</v>
      </c>
      <c r="Q202" t="s">
        <v>943</v>
      </c>
      <c r="R202" t="s">
        <v>334</v>
      </c>
      <c r="S202">
        <v>248.274</v>
      </c>
      <c r="T202">
        <v>2</v>
      </c>
      <c r="U202">
        <v>0.35</v>
      </c>
      <c r="V202">
        <v>57.294000000000011</v>
      </c>
      <c r="W202" s="3">
        <v>15.83</v>
      </c>
      <c r="X202" t="s">
        <v>933</v>
      </c>
    </row>
    <row r="203" spans="1:24" x14ac:dyDescent="0.25">
      <c r="A203">
        <v>30125</v>
      </c>
      <c r="B203" t="s">
        <v>2423</v>
      </c>
      <c r="C203" s="1">
        <v>41819</v>
      </c>
      <c r="D203" s="1">
        <v>41824</v>
      </c>
      <c r="E203" t="s">
        <v>19</v>
      </c>
      <c r="F203" t="s">
        <v>997</v>
      </c>
      <c r="G203" t="s">
        <v>651</v>
      </c>
      <c r="H203" t="s">
        <v>20</v>
      </c>
      <c r="I203" t="s">
        <v>906</v>
      </c>
      <c r="J203" t="s">
        <v>902</v>
      </c>
      <c r="K203" t="s">
        <v>903</v>
      </c>
      <c r="M203" t="s">
        <v>2991</v>
      </c>
      <c r="N203" t="s">
        <v>946</v>
      </c>
      <c r="O203" t="s">
        <v>2854</v>
      </c>
      <c r="P203" t="s">
        <v>27</v>
      </c>
      <c r="Q203" t="s">
        <v>936</v>
      </c>
      <c r="R203" t="s">
        <v>28</v>
      </c>
      <c r="S203">
        <v>248.22</v>
      </c>
      <c r="T203">
        <v>7</v>
      </c>
      <c r="U203">
        <v>0.25</v>
      </c>
      <c r="V203">
        <v>56.069999999999993</v>
      </c>
      <c r="W203" s="3">
        <v>39.369999999999997</v>
      </c>
      <c r="X203" t="s">
        <v>931</v>
      </c>
    </row>
    <row r="204" spans="1:24" x14ac:dyDescent="0.25">
      <c r="A204">
        <v>30012</v>
      </c>
      <c r="B204" t="s">
        <v>2414</v>
      </c>
      <c r="C204" s="1">
        <v>42734</v>
      </c>
      <c r="D204" s="1">
        <v>42007</v>
      </c>
      <c r="E204" t="s">
        <v>19</v>
      </c>
      <c r="F204" t="s">
        <v>1075</v>
      </c>
      <c r="G204" t="s">
        <v>840</v>
      </c>
      <c r="H204" t="s">
        <v>20</v>
      </c>
      <c r="I204" t="s">
        <v>906</v>
      </c>
      <c r="J204" t="s">
        <v>902</v>
      </c>
      <c r="K204" t="s">
        <v>903</v>
      </c>
      <c r="M204" t="s">
        <v>2991</v>
      </c>
      <c r="N204" t="s">
        <v>946</v>
      </c>
      <c r="O204" t="s">
        <v>2470</v>
      </c>
      <c r="P204" t="s">
        <v>27</v>
      </c>
      <c r="Q204" t="s">
        <v>936</v>
      </c>
      <c r="R204" t="s">
        <v>323</v>
      </c>
      <c r="S204">
        <v>247.59</v>
      </c>
      <c r="T204">
        <v>3</v>
      </c>
      <c r="U204">
        <v>0.25</v>
      </c>
      <c r="V204">
        <v>39.599999999999994</v>
      </c>
      <c r="W204" s="3">
        <v>10.29</v>
      </c>
      <c r="X204" t="s">
        <v>933</v>
      </c>
    </row>
    <row r="205" spans="1:24" x14ac:dyDescent="0.25">
      <c r="A205">
        <v>23587</v>
      </c>
      <c r="B205" t="s">
        <v>2038</v>
      </c>
      <c r="C205" s="1">
        <v>42086</v>
      </c>
      <c r="D205" s="1">
        <v>42088</v>
      </c>
      <c r="E205" t="s">
        <v>47</v>
      </c>
      <c r="F205" t="s">
        <v>1171</v>
      </c>
      <c r="G205" t="s">
        <v>600</v>
      </c>
      <c r="H205" t="s">
        <v>20</v>
      </c>
      <c r="I205" t="s">
        <v>906</v>
      </c>
      <c r="J205" t="s">
        <v>902</v>
      </c>
      <c r="K205" t="s">
        <v>903</v>
      </c>
      <c r="M205" t="s">
        <v>2991</v>
      </c>
      <c r="N205" t="s">
        <v>946</v>
      </c>
      <c r="O205" t="s">
        <v>2497</v>
      </c>
      <c r="P205" t="s">
        <v>31</v>
      </c>
      <c r="Q205" t="s">
        <v>943</v>
      </c>
      <c r="R205" t="s">
        <v>820</v>
      </c>
      <c r="S205">
        <v>247.45499999999998</v>
      </c>
      <c r="T205">
        <v>3</v>
      </c>
      <c r="U205">
        <v>0.35</v>
      </c>
      <c r="V205">
        <v>30.375000000000028</v>
      </c>
      <c r="W205" s="3">
        <v>80.95</v>
      </c>
      <c r="X205" t="s">
        <v>932</v>
      </c>
    </row>
    <row r="206" spans="1:24" x14ac:dyDescent="0.25">
      <c r="A206">
        <v>20779</v>
      </c>
      <c r="B206" t="s">
        <v>1865</v>
      </c>
      <c r="C206" s="1">
        <v>42133</v>
      </c>
      <c r="D206" s="1">
        <v>42134</v>
      </c>
      <c r="E206" t="s">
        <v>47</v>
      </c>
      <c r="F206" t="s">
        <v>1237</v>
      </c>
      <c r="G206" t="s">
        <v>419</v>
      </c>
      <c r="H206" t="s">
        <v>37</v>
      </c>
      <c r="I206" t="s">
        <v>910</v>
      </c>
      <c r="J206" t="s">
        <v>902</v>
      </c>
      <c r="K206" t="s">
        <v>903</v>
      </c>
      <c r="M206" t="s">
        <v>2991</v>
      </c>
      <c r="N206" t="s">
        <v>946</v>
      </c>
      <c r="O206" t="s">
        <v>2598</v>
      </c>
      <c r="P206" t="s">
        <v>27</v>
      </c>
      <c r="Q206" t="s">
        <v>29</v>
      </c>
      <c r="R206" t="s">
        <v>719</v>
      </c>
      <c r="S206">
        <v>246.69450000000003</v>
      </c>
      <c r="T206">
        <v>3</v>
      </c>
      <c r="U206">
        <v>0.35</v>
      </c>
      <c r="V206">
        <v>-125.27549999999999</v>
      </c>
      <c r="W206" s="3">
        <v>63.84</v>
      </c>
      <c r="X206" t="s">
        <v>933</v>
      </c>
    </row>
    <row r="207" spans="1:24" x14ac:dyDescent="0.25">
      <c r="A207">
        <v>29683</v>
      </c>
      <c r="B207" t="s">
        <v>2388</v>
      </c>
      <c r="C207" s="1">
        <v>42444</v>
      </c>
      <c r="D207" s="1">
        <v>42450</v>
      </c>
      <c r="E207" t="s">
        <v>19</v>
      </c>
      <c r="F207" t="s">
        <v>1360</v>
      </c>
      <c r="G207" t="s">
        <v>218</v>
      </c>
      <c r="H207" t="s">
        <v>20</v>
      </c>
      <c r="I207" t="s">
        <v>905</v>
      </c>
      <c r="J207" t="s">
        <v>902</v>
      </c>
      <c r="K207" t="s">
        <v>903</v>
      </c>
      <c r="M207" t="s">
        <v>2991</v>
      </c>
      <c r="N207" t="s">
        <v>946</v>
      </c>
      <c r="O207" t="s">
        <v>2598</v>
      </c>
      <c r="P207" t="s">
        <v>27</v>
      </c>
      <c r="Q207" t="s">
        <v>29</v>
      </c>
      <c r="R207" t="s">
        <v>719</v>
      </c>
      <c r="S207">
        <v>246.69450000000003</v>
      </c>
      <c r="T207">
        <v>3</v>
      </c>
      <c r="U207">
        <v>0.35</v>
      </c>
      <c r="V207">
        <v>-125.27549999999999</v>
      </c>
      <c r="W207" s="3">
        <v>24.69</v>
      </c>
      <c r="X207" t="s">
        <v>933</v>
      </c>
    </row>
    <row r="208" spans="1:24" x14ac:dyDescent="0.25">
      <c r="A208">
        <v>21057</v>
      </c>
      <c r="B208" t="s">
        <v>1878</v>
      </c>
      <c r="C208" s="1">
        <v>42363</v>
      </c>
      <c r="D208" s="1">
        <v>42367</v>
      </c>
      <c r="E208" t="s">
        <v>19</v>
      </c>
      <c r="F208" t="s">
        <v>976</v>
      </c>
      <c r="G208" t="s">
        <v>523</v>
      </c>
      <c r="H208" t="s">
        <v>20</v>
      </c>
      <c r="I208" t="s">
        <v>906</v>
      </c>
      <c r="J208" t="s">
        <v>902</v>
      </c>
      <c r="K208" t="s">
        <v>903</v>
      </c>
      <c r="M208" t="s">
        <v>2991</v>
      </c>
      <c r="N208" t="s">
        <v>946</v>
      </c>
      <c r="O208" t="s">
        <v>2650</v>
      </c>
      <c r="P208" t="s">
        <v>31</v>
      </c>
      <c r="Q208" t="s">
        <v>943</v>
      </c>
      <c r="R208" t="s">
        <v>275</v>
      </c>
      <c r="S208">
        <v>246.40199999999996</v>
      </c>
      <c r="T208">
        <v>2</v>
      </c>
      <c r="U208">
        <v>0.35</v>
      </c>
      <c r="V208">
        <v>-102.37799999999997</v>
      </c>
      <c r="W208" s="3">
        <v>14.89</v>
      </c>
      <c r="X208" t="s">
        <v>933</v>
      </c>
    </row>
    <row r="209" spans="1:24" x14ac:dyDescent="0.25">
      <c r="A209">
        <v>25844</v>
      </c>
      <c r="B209" t="s">
        <v>2160</v>
      </c>
      <c r="C209" s="1">
        <v>42244</v>
      </c>
      <c r="D209" s="1">
        <v>42251</v>
      </c>
      <c r="E209" t="s">
        <v>19</v>
      </c>
      <c r="F209" t="s">
        <v>1136</v>
      </c>
      <c r="G209" t="s">
        <v>661</v>
      </c>
      <c r="H209" t="s">
        <v>39</v>
      </c>
      <c r="I209" t="s">
        <v>907</v>
      </c>
      <c r="J209" t="s">
        <v>902</v>
      </c>
      <c r="K209" t="s">
        <v>903</v>
      </c>
      <c r="M209" t="s">
        <v>2991</v>
      </c>
      <c r="N209" t="s">
        <v>946</v>
      </c>
      <c r="O209" t="s">
        <v>2528</v>
      </c>
      <c r="P209" t="s">
        <v>22</v>
      </c>
      <c r="Q209" t="s">
        <v>935</v>
      </c>
      <c r="R209" t="s">
        <v>418</v>
      </c>
      <c r="S209">
        <v>242.20349999999996</v>
      </c>
      <c r="T209">
        <v>9</v>
      </c>
      <c r="U209">
        <v>0.45</v>
      </c>
      <c r="V209">
        <v>-4.5764999999999816</v>
      </c>
      <c r="W209" s="3">
        <v>26.23</v>
      </c>
      <c r="X209" t="s">
        <v>934</v>
      </c>
    </row>
    <row r="210" spans="1:24" x14ac:dyDescent="0.25">
      <c r="A210">
        <v>25137</v>
      </c>
      <c r="B210" t="s">
        <v>2114</v>
      </c>
      <c r="C210" s="1">
        <v>42176</v>
      </c>
      <c r="D210" s="1">
        <v>42177</v>
      </c>
      <c r="E210" t="s">
        <v>47</v>
      </c>
      <c r="F210" t="s">
        <v>1005</v>
      </c>
      <c r="G210" t="s">
        <v>505</v>
      </c>
      <c r="H210" t="s">
        <v>37</v>
      </c>
      <c r="I210" t="s">
        <v>901</v>
      </c>
      <c r="J210" t="s">
        <v>902</v>
      </c>
      <c r="K210" t="s">
        <v>903</v>
      </c>
      <c r="M210" t="s">
        <v>2991</v>
      </c>
      <c r="N210" t="s">
        <v>946</v>
      </c>
      <c r="O210" t="s">
        <v>2471</v>
      </c>
      <c r="P210" t="s">
        <v>22</v>
      </c>
      <c r="Q210" t="s">
        <v>942</v>
      </c>
      <c r="R210" t="s">
        <v>304</v>
      </c>
      <c r="S210">
        <v>241.89300000000003</v>
      </c>
      <c r="T210">
        <v>9</v>
      </c>
      <c r="U210">
        <v>0.15000000000000002</v>
      </c>
      <c r="V210">
        <v>-39.987000000000009</v>
      </c>
      <c r="W210" s="3">
        <v>19.59</v>
      </c>
      <c r="X210" t="s">
        <v>931</v>
      </c>
    </row>
    <row r="211" spans="1:24" x14ac:dyDescent="0.25">
      <c r="A211">
        <v>29487</v>
      </c>
      <c r="B211" t="s">
        <v>2380</v>
      </c>
      <c r="C211" s="1">
        <v>41652</v>
      </c>
      <c r="D211" s="1">
        <v>41656</v>
      </c>
      <c r="E211" t="s">
        <v>19</v>
      </c>
      <c r="F211" t="s">
        <v>1389</v>
      </c>
      <c r="G211" t="s">
        <v>455</v>
      </c>
      <c r="H211" t="s">
        <v>39</v>
      </c>
      <c r="I211" t="s">
        <v>906</v>
      </c>
      <c r="J211" t="s">
        <v>902</v>
      </c>
      <c r="K211" t="s">
        <v>903</v>
      </c>
      <c r="M211" t="s">
        <v>2991</v>
      </c>
      <c r="N211" t="s">
        <v>946</v>
      </c>
      <c r="O211" t="s">
        <v>1534</v>
      </c>
      <c r="P211" t="s">
        <v>27</v>
      </c>
      <c r="Q211" t="s">
        <v>29</v>
      </c>
      <c r="R211" t="s">
        <v>87</v>
      </c>
      <c r="S211">
        <v>240.66899999999998</v>
      </c>
      <c r="T211">
        <v>3</v>
      </c>
      <c r="U211">
        <v>0.35</v>
      </c>
      <c r="V211">
        <v>-26.000999999999976</v>
      </c>
      <c r="W211" s="3">
        <v>19.03</v>
      </c>
      <c r="X211" t="s">
        <v>931</v>
      </c>
    </row>
    <row r="212" spans="1:24" x14ac:dyDescent="0.25">
      <c r="A212">
        <v>22682</v>
      </c>
      <c r="B212" t="s">
        <v>1975</v>
      </c>
      <c r="C212" s="1">
        <v>42146</v>
      </c>
      <c r="D212" s="1">
        <v>42149</v>
      </c>
      <c r="E212" t="s">
        <v>43</v>
      </c>
      <c r="F212" t="s">
        <v>1339</v>
      </c>
      <c r="G212" t="s">
        <v>272</v>
      </c>
      <c r="H212" t="s">
        <v>37</v>
      </c>
      <c r="I212" t="s">
        <v>906</v>
      </c>
      <c r="J212" t="s">
        <v>902</v>
      </c>
      <c r="K212" t="s">
        <v>903</v>
      </c>
      <c r="M212" t="s">
        <v>2991</v>
      </c>
      <c r="N212" t="s">
        <v>946</v>
      </c>
      <c r="O212" t="s">
        <v>2619</v>
      </c>
      <c r="P212" t="s">
        <v>27</v>
      </c>
      <c r="Q212" t="s">
        <v>939</v>
      </c>
      <c r="R212" t="s">
        <v>36</v>
      </c>
      <c r="S212">
        <v>236.96999999999997</v>
      </c>
      <c r="T212">
        <v>4</v>
      </c>
      <c r="U212">
        <v>0.25</v>
      </c>
      <c r="V212">
        <v>-34.829999999999991</v>
      </c>
      <c r="W212" s="3">
        <v>83.48</v>
      </c>
      <c r="X212" t="s">
        <v>932</v>
      </c>
    </row>
    <row r="213" spans="1:24" x14ac:dyDescent="0.25">
      <c r="A213">
        <v>29905</v>
      </c>
      <c r="B213" t="s">
        <v>2408</v>
      </c>
      <c r="C213" s="1">
        <v>41851</v>
      </c>
      <c r="D213" s="1">
        <v>41856</v>
      </c>
      <c r="E213" t="s">
        <v>19</v>
      </c>
      <c r="F213" t="s">
        <v>1175</v>
      </c>
      <c r="G213" t="s">
        <v>578</v>
      </c>
      <c r="H213" t="s">
        <v>20</v>
      </c>
      <c r="I213" t="s">
        <v>906</v>
      </c>
      <c r="J213" t="s">
        <v>902</v>
      </c>
      <c r="K213" t="s">
        <v>903</v>
      </c>
      <c r="M213" t="s">
        <v>2991</v>
      </c>
      <c r="N213" t="s">
        <v>946</v>
      </c>
      <c r="O213" t="s">
        <v>2811</v>
      </c>
      <c r="P213" t="s">
        <v>22</v>
      </c>
      <c r="Q213" t="s">
        <v>942</v>
      </c>
      <c r="R213" t="s">
        <v>354</v>
      </c>
      <c r="S213">
        <v>235.69650000000001</v>
      </c>
      <c r="T213">
        <v>9</v>
      </c>
      <c r="U213">
        <v>0.15000000000000002</v>
      </c>
      <c r="V213">
        <v>88.546500000000009</v>
      </c>
      <c r="W213" s="3">
        <v>17.61</v>
      </c>
      <c r="X213" t="s">
        <v>933</v>
      </c>
    </row>
    <row r="214" spans="1:24" x14ac:dyDescent="0.25">
      <c r="A214">
        <v>22226</v>
      </c>
      <c r="B214" t="s">
        <v>1944</v>
      </c>
      <c r="C214" s="1">
        <v>42706</v>
      </c>
      <c r="D214" s="1">
        <v>42710</v>
      </c>
      <c r="E214" t="s">
        <v>43</v>
      </c>
      <c r="F214" t="s">
        <v>995</v>
      </c>
      <c r="G214" t="s">
        <v>107</v>
      </c>
      <c r="H214" t="s">
        <v>39</v>
      </c>
      <c r="I214" t="s">
        <v>906</v>
      </c>
      <c r="J214" t="s">
        <v>902</v>
      </c>
      <c r="K214" t="s">
        <v>903</v>
      </c>
      <c r="M214" t="s">
        <v>2991</v>
      </c>
      <c r="N214" t="s">
        <v>946</v>
      </c>
      <c r="O214" t="s">
        <v>2778</v>
      </c>
      <c r="P214" t="s">
        <v>22</v>
      </c>
      <c r="Q214" t="s">
        <v>940</v>
      </c>
      <c r="R214" t="s">
        <v>605</v>
      </c>
      <c r="S214">
        <v>235.07550000000006</v>
      </c>
      <c r="T214">
        <v>9</v>
      </c>
      <c r="U214">
        <v>0.45</v>
      </c>
      <c r="V214">
        <v>-149.67450000000002</v>
      </c>
      <c r="W214" s="3">
        <v>17.36</v>
      </c>
      <c r="X214" t="s">
        <v>933</v>
      </c>
    </row>
    <row r="215" spans="1:24" x14ac:dyDescent="0.25">
      <c r="A215">
        <v>23099</v>
      </c>
      <c r="B215" t="s">
        <v>2005</v>
      </c>
      <c r="C215" s="1">
        <v>41363</v>
      </c>
      <c r="D215" s="1">
        <v>41367</v>
      </c>
      <c r="E215" t="s">
        <v>19</v>
      </c>
      <c r="F215" t="s">
        <v>1230</v>
      </c>
      <c r="G215" t="s">
        <v>382</v>
      </c>
      <c r="H215" t="s">
        <v>20</v>
      </c>
      <c r="I215" t="s">
        <v>906</v>
      </c>
      <c r="J215" t="s">
        <v>902</v>
      </c>
      <c r="K215" t="s">
        <v>903</v>
      </c>
      <c r="M215" t="s">
        <v>2991</v>
      </c>
      <c r="N215" t="s">
        <v>946</v>
      </c>
      <c r="O215" t="s">
        <v>2868</v>
      </c>
      <c r="P215" t="s">
        <v>31</v>
      </c>
      <c r="Q215" t="s">
        <v>938</v>
      </c>
      <c r="R215" t="s">
        <v>900</v>
      </c>
      <c r="S215">
        <v>233.88750000000002</v>
      </c>
      <c r="T215">
        <v>1</v>
      </c>
      <c r="U215">
        <v>0.25</v>
      </c>
      <c r="V215">
        <v>59.227499999999992</v>
      </c>
      <c r="W215" s="3">
        <v>32.01</v>
      </c>
      <c r="X215" t="s">
        <v>933</v>
      </c>
    </row>
    <row r="216" spans="1:24" x14ac:dyDescent="0.25">
      <c r="A216">
        <v>21656</v>
      </c>
      <c r="B216" t="s">
        <v>1911</v>
      </c>
      <c r="C216" s="1">
        <v>41846</v>
      </c>
      <c r="D216" s="1">
        <v>41846</v>
      </c>
      <c r="E216" t="s">
        <v>58</v>
      </c>
      <c r="F216" t="s">
        <v>1134</v>
      </c>
      <c r="G216" t="s">
        <v>565</v>
      </c>
      <c r="H216" t="s">
        <v>39</v>
      </c>
      <c r="I216" t="s">
        <v>906</v>
      </c>
      <c r="J216" t="s">
        <v>902</v>
      </c>
      <c r="K216" t="s">
        <v>903</v>
      </c>
      <c r="M216" t="s">
        <v>2991</v>
      </c>
      <c r="N216" t="s">
        <v>946</v>
      </c>
      <c r="O216" t="s">
        <v>2748</v>
      </c>
      <c r="P216" t="s">
        <v>27</v>
      </c>
      <c r="Q216" t="s">
        <v>939</v>
      </c>
      <c r="R216" t="s">
        <v>235</v>
      </c>
      <c r="S216">
        <v>233.66250000000002</v>
      </c>
      <c r="T216">
        <v>5</v>
      </c>
      <c r="U216">
        <v>0.25</v>
      </c>
      <c r="V216">
        <v>-28.087500000000006</v>
      </c>
      <c r="W216" s="3">
        <v>4.96</v>
      </c>
      <c r="X216" t="s">
        <v>933</v>
      </c>
    </row>
    <row r="217" spans="1:24" x14ac:dyDescent="0.25">
      <c r="A217">
        <v>23102</v>
      </c>
      <c r="B217" t="s">
        <v>2005</v>
      </c>
      <c r="C217" s="1">
        <v>41363</v>
      </c>
      <c r="D217" s="1">
        <v>41367</v>
      </c>
      <c r="E217" t="s">
        <v>19</v>
      </c>
      <c r="F217" t="s">
        <v>1230</v>
      </c>
      <c r="G217" t="s">
        <v>382</v>
      </c>
      <c r="H217" t="s">
        <v>20</v>
      </c>
      <c r="I217" t="s">
        <v>906</v>
      </c>
      <c r="J217" t="s">
        <v>902</v>
      </c>
      <c r="K217" t="s">
        <v>903</v>
      </c>
      <c r="M217" t="s">
        <v>2991</v>
      </c>
      <c r="N217" t="s">
        <v>946</v>
      </c>
      <c r="O217" t="s">
        <v>2720</v>
      </c>
      <c r="P217" t="s">
        <v>27</v>
      </c>
      <c r="Q217" t="s">
        <v>936</v>
      </c>
      <c r="R217" t="s">
        <v>589</v>
      </c>
      <c r="S217">
        <v>226.125</v>
      </c>
      <c r="T217">
        <v>6</v>
      </c>
      <c r="U217">
        <v>0.25</v>
      </c>
      <c r="V217">
        <v>-24.255000000000003</v>
      </c>
      <c r="W217" s="3">
        <v>21.75</v>
      </c>
      <c r="X217" t="s">
        <v>933</v>
      </c>
    </row>
    <row r="218" spans="1:24" x14ac:dyDescent="0.25">
      <c r="A218">
        <v>26783</v>
      </c>
      <c r="B218" t="s">
        <v>2222</v>
      </c>
      <c r="C218" s="1">
        <v>42484</v>
      </c>
      <c r="D218" s="1">
        <v>42489</v>
      </c>
      <c r="E218" t="s">
        <v>19</v>
      </c>
      <c r="F218" t="s">
        <v>1241</v>
      </c>
      <c r="G218" t="s">
        <v>178</v>
      </c>
      <c r="H218" t="s">
        <v>20</v>
      </c>
      <c r="I218" t="s">
        <v>906</v>
      </c>
      <c r="J218" t="s">
        <v>902</v>
      </c>
      <c r="K218" t="s">
        <v>903</v>
      </c>
      <c r="M218" t="s">
        <v>2991</v>
      </c>
      <c r="N218" t="s">
        <v>946</v>
      </c>
      <c r="O218" t="s">
        <v>2857</v>
      </c>
      <c r="P218" t="s">
        <v>22</v>
      </c>
      <c r="Q218" t="s">
        <v>935</v>
      </c>
      <c r="R218" t="s">
        <v>388</v>
      </c>
      <c r="S218">
        <v>224.565</v>
      </c>
      <c r="T218">
        <v>2</v>
      </c>
      <c r="U218">
        <v>0.45</v>
      </c>
      <c r="V218">
        <v>-77.59499999999997</v>
      </c>
      <c r="W218" s="3">
        <v>11.89</v>
      </c>
      <c r="X218" t="s">
        <v>933</v>
      </c>
    </row>
    <row r="219" spans="1:24" x14ac:dyDescent="0.25">
      <c r="A219">
        <v>25197</v>
      </c>
      <c r="B219" t="s">
        <v>2118</v>
      </c>
      <c r="C219" s="1">
        <v>42418</v>
      </c>
      <c r="D219" s="1">
        <v>42420</v>
      </c>
      <c r="E219" t="s">
        <v>47</v>
      </c>
      <c r="F219" t="s">
        <v>1115</v>
      </c>
      <c r="G219" t="s">
        <v>553</v>
      </c>
      <c r="H219" t="s">
        <v>20</v>
      </c>
      <c r="I219" t="s">
        <v>922</v>
      </c>
      <c r="J219" t="s">
        <v>923</v>
      </c>
      <c r="K219" t="s">
        <v>903</v>
      </c>
      <c r="M219" t="s">
        <v>2991</v>
      </c>
      <c r="N219" t="s">
        <v>946</v>
      </c>
      <c r="O219" t="s">
        <v>2468</v>
      </c>
      <c r="P219" t="s">
        <v>31</v>
      </c>
      <c r="Q219" t="s">
        <v>945</v>
      </c>
      <c r="R219" t="s">
        <v>757</v>
      </c>
      <c r="S219">
        <v>222.61800000000002</v>
      </c>
      <c r="T219">
        <v>4</v>
      </c>
      <c r="U219">
        <v>0.45</v>
      </c>
      <c r="V219">
        <v>-157.90199999999999</v>
      </c>
      <c r="W219" s="3">
        <v>23.81</v>
      </c>
      <c r="X219" t="s">
        <v>931</v>
      </c>
    </row>
    <row r="220" spans="1:24" x14ac:dyDescent="0.25">
      <c r="A220">
        <v>29664</v>
      </c>
      <c r="B220" t="s">
        <v>2387</v>
      </c>
      <c r="C220" s="1">
        <v>42069</v>
      </c>
      <c r="D220" s="1">
        <v>42071</v>
      </c>
      <c r="E220" t="s">
        <v>43</v>
      </c>
      <c r="F220" t="s">
        <v>1125</v>
      </c>
      <c r="G220" t="s">
        <v>783</v>
      </c>
      <c r="H220" t="s">
        <v>20</v>
      </c>
      <c r="I220" t="s">
        <v>905</v>
      </c>
      <c r="J220" t="s">
        <v>902</v>
      </c>
      <c r="K220" t="s">
        <v>903</v>
      </c>
      <c r="M220" t="s">
        <v>2991</v>
      </c>
      <c r="N220" t="s">
        <v>946</v>
      </c>
      <c r="O220" t="s">
        <v>2614</v>
      </c>
      <c r="P220" t="s">
        <v>27</v>
      </c>
      <c r="Q220" t="s">
        <v>936</v>
      </c>
      <c r="R220" t="s">
        <v>227</v>
      </c>
      <c r="S220">
        <v>220.18499999999995</v>
      </c>
      <c r="T220">
        <v>6</v>
      </c>
      <c r="U220">
        <v>0.25</v>
      </c>
      <c r="V220">
        <v>73.305000000000035</v>
      </c>
      <c r="W220" s="3">
        <v>14.61</v>
      </c>
      <c r="X220" t="s">
        <v>933</v>
      </c>
    </row>
    <row r="221" spans="1:24" x14ac:dyDescent="0.25">
      <c r="A221">
        <v>20886</v>
      </c>
      <c r="B221" t="s">
        <v>1873</v>
      </c>
      <c r="C221" s="1">
        <v>41710</v>
      </c>
      <c r="D221" s="1">
        <v>41715</v>
      </c>
      <c r="E221" t="s">
        <v>19</v>
      </c>
      <c r="F221" t="s">
        <v>1123</v>
      </c>
      <c r="G221" t="s">
        <v>660</v>
      </c>
      <c r="H221" t="s">
        <v>37</v>
      </c>
      <c r="I221" t="s">
        <v>906</v>
      </c>
      <c r="J221" t="s">
        <v>902</v>
      </c>
      <c r="K221" t="s">
        <v>903</v>
      </c>
      <c r="M221" t="s">
        <v>2991</v>
      </c>
      <c r="N221" t="s">
        <v>946</v>
      </c>
      <c r="O221" t="s">
        <v>2620</v>
      </c>
      <c r="P221" t="s">
        <v>27</v>
      </c>
      <c r="Q221" t="s">
        <v>29</v>
      </c>
      <c r="R221" t="s">
        <v>188</v>
      </c>
      <c r="S221">
        <v>219.96000000000004</v>
      </c>
      <c r="T221">
        <v>2</v>
      </c>
      <c r="U221">
        <v>0.35</v>
      </c>
      <c r="V221">
        <v>16.919999999999987</v>
      </c>
      <c r="W221" s="3">
        <v>16.309999999999999</v>
      </c>
      <c r="X221" t="s">
        <v>933</v>
      </c>
    </row>
    <row r="222" spans="1:24" x14ac:dyDescent="0.25">
      <c r="A222">
        <v>24546</v>
      </c>
      <c r="B222" t="s">
        <v>2085</v>
      </c>
      <c r="C222" s="1">
        <v>41950</v>
      </c>
      <c r="D222" s="1">
        <v>41954</v>
      </c>
      <c r="E222" t="s">
        <v>19</v>
      </c>
      <c r="F222" t="s">
        <v>972</v>
      </c>
      <c r="G222" t="s">
        <v>678</v>
      </c>
      <c r="H222" t="s">
        <v>39</v>
      </c>
      <c r="I222" t="s">
        <v>906</v>
      </c>
      <c r="J222" t="s">
        <v>902</v>
      </c>
      <c r="K222" t="s">
        <v>903</v>
      </c>
      <c r="M222" t="s">
        <v>2991</v>
      </c>
      <c r="N222" t="s">
        <v>946</v>
      </c>
      <c r="O222" t="s">
        <v>2941</v>
      </c>
      <c r="P222" t="s">
        <v>27</v>
      </c>
      <c r="Q222" t="s">
        <v>936</v>
      </c>
      <c r="R222" t="s">
        <v>747</v>
      </c>
      <c r="S222">
        <v>219.51</v>
      </c>
      <c r="T222">
        <v>6</v>
      </c>
      <c r="U222">
        <v>0.25</v>
      </c>
      <c r="V222">
        <v>55.530000000000015</v>
      </c>
      <c r="W222" s="3">
        <v>14.16</v>
      </c>
      <c r="X222" t="s">
        <v>933</v>
      </c>
    </row>
    <row r="223" spans="1:24" x14ac:dyDescent="0.25">
      <c r="A223">
        <v>24437</v>
      </c>
      <c r="B223" t="s">
        <v>2078</v>
      </c>
      <c r="C223" s="1">
        <v>42417</v>
      </c>
      <c r="D223" s="1">
        <v>42418</v>
      </c>
      <c r="E223" t="s">
        <v>47</v>
      </c>
      <c r="F223" t="s">
        <v>1021</v>
      </c>
      <c r="G223" t="s">
        <v>555</v>
      </c>
      <c r="H223" t="s">
        <v>20</v>
      </c>
      <c r="I223" t="s">
        <v>922</v>
      </c>
      <c r="J223" t="s">
        <v>923</v>
      </c>
      <c r="K223" t="s">
        <v>903</v>
      </c>
      <c r="M223" t="s">
        <v>2991</v>
      </c>
      <c r="N223" t="s">
        <v>946</v>
      </c>
      <c r="O223" t="s">
        <v>2700</v>
      </c>
      <c r="P223" t="s">
        <v>22</v>
      </c>
      <c r="Q223" t="s">
        <v>935</v>
      </c>
      <c r="R223" t="s">
        <v>297</v>
      </c>
      <c r="S223">
        <v>218.79</v>
      </c>
      <c r="T223">
        <v>2</v>
      </c>
      <c r="U223">
        <v>0.45</v>
      </c>
      <c r="V223">
        <v>-123.33</v>
      </c>
      <c r="W223" s="3">
        <v>27.89</v>
      </c>
      <c r="X223" t="s">
        <v>931</v>
      </c>
    </row>
    <row r="224" spans="1:24" x14ac:dyDescent="0.25">
      <c r="A224">
        <v>23513</v>
      </c>
      <c r="B224" t="s">
        <v>2030</v>
      </c>
      <c r="C224" s="1">
        <v>41913</v>
      </c>
      <c r="D224" s="1">
        <v>41917</v>
      </c>
      <c r="E224" t="s">
        <v>19</v>
      </c>
      <c r="F224" t="s">
        <v>1153</v>
      </c>
      <c r="G224" t="s">
        <v>338</v>
      </c>
      <c r="H224" t="s">
        <v>39</v>
      </c>
      <c r="I224" t="s">
        <v>906</v>
      </c>
      <c r="J224" t="s">
        <v>902</v>
      </c>
      <c r="K224" t="s">
        <v>903</v>
      </c>
      <c r="M224" t="s">
        <v>2991</v>
      </c>
      <c r="N224" t="s">
        <v>946</v>
      </c>
      <c r="O224" t="s">
        <v>2548</v>
      </c>
      <c r="P224" t="s">
        <v>27</v>
      </c>
      <c r="Q224" t="s">
        <v>939</v>
      </c>
      <c r="R224" t="s">
        <v>114</v>
      </c>
      <c r="S224">
        <v>217.23749999999995</v>
      </c>
      <c r="T224">
        <v>5</v>
      </c>
      <c r="U224">
        <v>0.25</v>
      </c>
      <c r="V224">
        <v>17.287500000000009</v>
      </c>
      <c r="W224" s="3">
        <v>7.53</v>
      </c>
      <c r="X224" t="s">
        <v>933</v>
      </c>
    </row>
    <row r="225" spans="1:24" x14ac:dyDescent="0.25">
      <c r="A225">
        <v>20308</v>
      </c>
      <c r="B225" t="s">
        <v>1842</v>
      </c>
      <c r="C225" s="1">
        <v>41466</v>
      </c>
      <c r="D225" s="1">
        <v>41470</v>
      </c>
      <c r="E225" t="s">
        <v>19</v>
      </c>
      <c r="F225" t="s">
        <v>1226</v>
      </c>
      <c r="G225" t="s">
        <v>641</v>
      </c>
      <c r="H225" t="s">
        <v>20</v>
      </c>
      <c r="I225" t="s">
        <v>906</v>
      </c>
      <c r="J225" t="s">
        <v>902</v>
      </c>
      <c r="K225" t="s">
        <v>903</v>
      </c>
      <c r="M225" t="s">
        <v>2991</v>
      </c>
      <c r="N225" t="s">
        <v>946</v>
      </c>
      <c r="O225" t="s">
        <v>2453</v>
      </c>
      <c r="P225" t="s">
        <v>22</v>
      </c>
      <c r="Q225" t="s">
        <v>942</v>
      </c>
      <c r="R225" t="s">
        <v>391</v>
      </c>
      <c r="S225">
        <v>216.8775</v>
      </c>
      <c r="T225">
        <v>9</v>
      </c>
      <c r="U225">
        <v>0.15000000000000002</v>
      </c>
      <c r="V225">
        <v>86.737499999999997</v>
      </c>
      <c r="W225" s="3">
        <v>29.7</v>
      </c>
      <c r="X225" t="s">
        <v>931</v>
      </c>
    </row>
    <row r="226" spans="1:24" x14ac:dyDescent="0.25">
      <c r="A226">
        <v>21836</v>
      </c>
      <c r="B226" t="s">
        <v>1923</v>
      </c>
      <c r="C226" s="1">
        <v>41762</v>
      </c>
      <c r="D226" s="1">
        <v>41767</v>
      </c>
      <c r="E226" t="s">
        <v>43</v>
      </c>
      <c r="F226" t="s">
        <v>1144</v>
      </c>
      <c r="G226" t="s">
        <v>254</v>
      </c>
      <c r="H226" t="s">
        <v>20</v>
      </c>
      <c r="I226" t="s">
        <v>918</v>
      </c>
      <c r="J226" t="s">
        <v>911</v>
      </c>
      <c r="K226" t="s">
        <v>903</v>
      </c>
      <c r="M226" t="s">
        <v>2991</v>
      </c>
      <c r="N226" t="s">
        <v>946</v>
      </c>
      <c r="O226" t="s">
        <v>2780</v>
      </c>
      <c r="P226" t="s">
        <v>22</v>
      </c>
      <c r="Q226" t="s">
        <v>50</v>
      </c>
      <c r="R226" t="s">
        <v>647</v>
      </c>
      <c r="S226">
        <v>216.11249999999998</v>
      </c>
      <c r="T226">
        <v>3</v>
      </c>
      <c r="U226">
        <v>0.15000000000000002</v>
      </c>
      <c r="V226">
        <v>-15.277500000000003</v>
      </c>
      <c r="W226" s="3">
        <v>12.39</v>
      </c>
      <c r="X226" t="s">
        <v>933</v>
      </c>
    </row>
    <row r="227" spans="1:24" x14ac:dyDescent="0.25">
      <c r="A227">
        <v>25286</v>
      </c>
      <c r="B227" t="s">
        <v>2126</v>
      </c>
      <c r="C227" s="1">
        <v>41617</v>
      </c>
      <c r="D227" s="1">
        <v>41621</v>
      </c>
      <c r="E227" t="s">
        <v>19</v>
      </c>
      <c r="F227" t="s">
        <v>1031</v>
      </c>
      <c r="G227" t="s">
        <v>345</v>
      </c>
      <c r="H227" t="s">
        <v>20</v>
      </c>
      <c r="I227" t="s">
        <v>906</v>
      </c>
      <c r="J227" t="s">
        <v>902</v>
      </c>
      <c r="K227" t="s">
        <v>903</v>
      </c>
      <c r="M227" t="s">
        <v>2991</v>
      </c>
      <c r="N227" t="s">
        <v>946</v>
      </c>
      <c r="O227" t="s">
        <v>2958</v>
      </c>
      <c r="P227" t="s">
        <v>27</v>
      </c>
      <c r="Q227" t="s">
        <v>936</v>
      </c>
      <c r="R227" t="s">
        <v>201</v>
      </c>
      <c r="S227">
        <v>214.65000000000003</v>
      </c>
      <c r="T227">
        <v>12</v>
      </c>
      <c r="U227">
        <v>0.25</v>
      </c>
      <c r="V227">
        <v>48.329999999999984</v>
      </c>
      <c r="W227" s="3">
        <v>21.04</v>
      </c>
      <c r="X227" t="s">
        <v>933</v>
      </c>
    </row>
    <row r="228" spans="1:24" x14ac:dyDescent="0.25">
      <c r="A228">
        <v>27145</v>
      </c>
      <c r="B228" t="s">
        <v>2247</v>
      </c>
      <c r="C228" s="1">
        <v>41603</v>
      </c>
      <c r="D228" s="1">
        <v>41608</v>
      </c>
      <c r="E228" t="s">
        <v>19</v>
      </c>
      <c r="F228" t="s">
        <v>1019</v>
      </c>
      <c r="G228" t="s">
        <v>828</v>
      </c>
      <c r="H228" t="s">
        <v>20</v>
      </c>
      <c r="I228" t="s">
        <v>918</v>
      </c>
      <c r="J228" t="s">
        <v>911</v>
      </c>
      <c r="K228" t="s">
        <v>903</v>
      </c>
      <c r="M228" t="s">
        <v>2991</v>
      </c>
      <c r="N228" t="s">
        <v>946</v>
      </c>
      <c r="O228" t="s">
        <v>2876</v>
      </c>
      <c r="P228" t="s">
        <v>27</v>
      </c>
      <c r="Q228" t="s">
        <v>939</v>
      </c>
      <c r="R228" t="s">
        <v>491</v>
      </c>
      <c r="S228">
        <v>213.29999999999998</v>
      </c>
      <c r="T228">
        <v>6</v>
      </c>
      <c r="U228">
        <v>0.25</v>
      </c>
      <c r="V228">
        <v>-2.8799999999999955</v>
      </c>
      <c r="W228" s="3">
        <v>12.23</v>
      </c>
      <c r="X228" t="s">
        <v>933</v>
      </c>
    </row>
    <row r="229" spans="1:24" x14ac:dyDescent="0.25">
      <c r="A229">
        <v>26361</v>
      </c>
      <c r="B229" t="s">
        <v>2198</v>
      </c>
      <c r="C229" s="1">
        <v>41277</v>
      </c>
      <c r="D229" s="1">
        <v>41281</v>
      </c>
      <c r="E229" t="s">
        <v>43</v>
      </c>
      <c r="F229" t="s">
        <v>1152</v>
      </c>
      <c r="G229" t="s">
        <v>151</v>
      </c>
      <c r="H229" t="s">
        <v>20</v>
      </c>
      <c r="I229" t="s">
        <v>906</v>
      </c>
      <c r="J229" t="s">
        <v>902</v>
      </c>
      <c r="K229" t="s">
        <v>903</v>
      </c>
      <c r="M229" t="s">
        <v>2991</v>
      </c>
      <c r="N229" t="s">
        <v>946</v>
      </c>
      <c r="O229" t="s">
        <v>2851</v>
      </c>
      <c r="P229" t="s">
        <v>27</v>
      </c>
      <c r="Q229" t="s">
        <v>53</v>
      </c>
      <c r="R229" t="s">
        <v>708</v>
      </c>
      <c r="S229">
        <v>211.18049999999999</v>
      </c>
      <c r="T229">
        <v>1</v>
      </c>
      <c r="U229">
        <v>0.55000000000000004</v>
      </c>
      <c r="V229">
        <v>-70.399500000000018</v>
      </c>
      <c r="W229" s="3">
        <v>21.32</v>
      </c>
      <c r="X229" t="s">
        <v>931</v>
      </c>
    </row>
    <row r="230" spans="1:24" x14ac:dyDescent="0.25">
      <c r="A230">
        <v>25660</v>
      </c>
      <c r="B230" t="s">
        <v>2150</v>
      </c>
      <c r="C230" s="1">
        <v>42277</v>
      </c>
      <c r="D230" s="1">
        <v>42282</v>
      </c>
      <c r="E230" t="s">
        <v>43</v>
      </c>
      <c r="F230" t="s">
        <v>1186</v>
      </c>
      <c r="G230" t="s">
        <v>172</v>
      </c>
      <c r="H230" t="s">
        <v>39</v>
      </c>
      <c r="I230" t="s">
        <v>905</v>
      </c>
      <c r="J230" t="s">
        <v>902</v>
      </c>
      <c r="K230" t="s">
        <v>903</v>
      </c>
      <c r="M230" t="s">
        <v>2991</v>
      </c>
      <c r="N230" t="s">
        <v>946</v>
      </c>
      <c r="O230" t="s">
        <v>2825</v>
      </c>
      <c r="P230" t="s">
        <v>27</v>
      </c>
      <c r="Q230" t="s">
        <v>936</v>
      </c>
      <c r="R230" t="s">
        <v>403</v>
      </c>
      <c r="S230">
        <v>210.59999999999997</v>
      </c>
      <c r="T230">
        <v>12</v>
      </c>
      <c r="U230">
        <v>0.25</v>
      </c>
      <c r="V230">
        <v>-28.079999999999991</v>
      </c>
      <c r="W230" s="3">
        <v>17.46</v>
      </c>
      <c r="X230" t="s">
        <v>933</v>
      </c>
    </row>
    <row r="231" spans="1:24" x14ac:dyDescent="0.25">
      <c r="A231">
        <v>27146</v>
      </c>
      <c r="B231" t="s">
        <v>2247</v>
      </c>
      <c r="C231" s="1">
        <v>41603</v>
      </c>
      <c r="D231" s="1">
        <v>41608</v>
      </c>
      <c r="E231" t="s">
        <v>19</v>
      </c>
      <c r="F231" t="s">
        <v>1019</v>
      </c>
      <c r="G231" t="s">
        <v>828</v>
      </c>
      <c r="H231" t="s">
        <v>20</v>
      </c>
      <c r="I231" t="s">
        <v>918</v>
      </c>
      <c r="J231" t="s">
        <v>911</v>
      </c>
      <c r="K231" t="s">
        <v>903</v>
      </c>
      <c r="M231" t="s">
        <v>2991</v>
      </c>
      <c r="N231" t="s">
        <v>946</v>
      </c>
      <c r="O231" t="s">
        <v>2667</v>
      </c>
      <c r="P231" t="s">
        <v>22</v>
      </c>
      <c r="Q231" t="s">
        <v>942</v>
      </c>
      <c r="R231" t="s">
        <v>256</v>
      </c>
      <c r="S231">
        <v>209.1</v>
      </c>
      <c r="T231">
        <v>5</v>
      </c>
      <c r="U231">
        <v>0.15000000000000002</v>
      </c>
      <c r="V231">
        <v>44.25</v>
      </c>
      <c r="W231" s="3">
        <v>16.89</v>
      </c>
      <c r="X231" t="s">
        <v>933</v>
      </c>
    </row>
    <row r="232" spans="1:24" x14ac:dyDescent="0.25">
      <c r="A232">
        <v>27308</v>
      </c>
      <c r="B232" t="s">
        <v>2263</v>
      </c>
      <c r="C232" s="1">
        <v>42467</v>
      </c>
      <c r="D232" s="1">
        <v>42471</v>
      </c>
      <c r="E232" t="s">
        <v>19</v>
      </c>
      <c r="F232" t="s">
        <v>1121</v>
      </c>
      <c r="G232" t="s">
        <v>126</v>
      </c>
      <c r="H232" t="s">
        <v>37</v>
      </c>
      <c r="I232" t="s">
        <v>910</v>
      </c>
      <c r="J232" t="s">
        <v>902</v>
      </c>
      <c r="K232" t="s">
        <v>903</v>
      </c>
      <c r="M232" t="s">
        <v>2991</v>
      </c>
      <c r="N232" t="s">
        <v>946</v>
      </c>
      <c r="O232" t="s">
        <v>2843</v>
      </c>
      <c r="P232" t="s">
        <v>27</v>
      </c>
      <c r="Q232" t="s">
        <v>939</v>
      </c>
      <c r="R232" t="s">
        <v>93</v>
      </c>
      <c r="S232">
        <v>208.23750000000001</v>
      </c>
      <c r="T232">
        <v>5</v>
      </c>
      <c r="U232">
        <v>0.25</v>
      </c>
      <c r="V232">
        <v>-0.11249999999999716</v>
      </c>
      <c r="W232" s="3">
        <v>10.99</v>
      </c>
      <c r="X232" t="s">
        <v>933</v>
      </c>
    </row>
    <row r="233" spans="1:24" x14ac:dyDescent="0.25">
      <c r="A233">
        <v>28145</v>
      </c>
      <c r="B233" t="s">
        <v>2309</v>
      </c>
      <c r="C233" s="1">
        <v>42250</v>
      </c>
      <c r="D233" s="1">
        <v>42255</v>
      </c>
      <c r="E233" t="s">
        <v>19</v>
      </c>
      <c r="F233" t="s">
        <v>1087</v>
      </c>
      <c r="G233" t="s">
        <v>357</v>
      </c>
      <c r="H233" t="s">
        <v>20</v>
      </c>
      <c r="I233" t="s">
        <v>901</v>
      </c>
      <c r="J233" t="s">
        <v>902</v>
      </c>
      <c r="K233" t="s">
        <v>903</v>
      </c>
      <c r="M233" t="s">
        <v>2991</v>
      </c>
      <c r="N233" t="s">
        <v>946</v>
      </c>
      <c r="O233" t="s">
        <v>2511</v>
      </c>
      <c r="P233" t="s">
        <v>22</v>
      </c>
      <c r="Q233" t="s">
        <v>942</v>
      </c>
      <c r="R233" t="s">
        <v>255</v>
      </c>
      <c r="S233">
        <v>208.07999999999998</v>
      </c>
      <c r="T233">
        <v>5</v>
      </c>
      <c r="U233">
        <v>0.15000000000000002</v>
      </c>
      <c r="V233">
        <v>-31.920000000000005</v>
      </c>
      <c r="W233" s="3">
        <v>14.77</v>
      </c>
      <c r="X233" t="s">
        <v>931</v>
      </c>
    </row>
    <row r="234" spans="1:24" x14ac:dyDescent="0.25">
      <c r="A234">
        <v>28327</v>
      </c>
      <c r="B234" t="s">
        <v>2321</v>
      </c>
      <c r="C234" s="1">
        <v>42629</v>
      </c>
      <c r="D234" s="1">
        <v>42634</v>
      </c>
      <c r="E234" t="s">
        <v>19</v>
      </c>
      <c r="F234" t="s">
        <v>1192</v>
      </c>
      <c r="G234" t="s">
        <v>80</v>
      </c>
      <c r="H234" t="s">
        <v>20</v>
      </c>
      <c r="I234" t="s">
        <v>909</v>
      </c>
      <c r="J234" t="s">
        <v>902</v>
      </c>
      <c r="K234" t="s">
        <v>903</v>
      </c>
      <c r="M234" t="s">
        <v>2991</v>
      </c>
      <c r="N234" t="s">
        <v>946</v>
      </c>
      <c r="O234" t="s">
        <v>2828</v>
      </c>
      <c r="P234" t="s">
        <v>31</v>
      </c>
      <c r="Q234" t="s">
        <v>943</v>
      </c>
      <c r="R234" t="s">
        <v>619</v>
      </c>
      <c r="S234">
        <v>206.95350000000005</v>
      </c>
      <c r="T234">
        <v>1</v>
      </c>
      <c r="U234">
        <v>0.35</v>
      </c>
      <c r="V234">
        <v>31.813499999999991</v>
      </c>
      <c r="W234" s="3">
        <v>18.11</v>
      </c>
      <c r="X234" t="s">
        <v>933</v>
      </c>
    </row>
    <row r="235" spans="1:24" x14ac:dyDescent="0.25">
      <c r="A235">
        <v>26892</v>
      </c>
      <c r="B235" t="s">
        <v>2228</v>
      </c>
      <c r="C235" s="1">
        <v>41649</v>
      </c>
      <c r="D235" s="1">
        <v>41653</v>
      </c>
      <c r="E235" t="s">
        <v>43</v>
      </c>
      <c r="F235" t="s">
        <v>1071</v>
      </c>
      <c r="G235" t="s">
        <v>216</v>
      </c>
      <c r="H235" t="s">
        <v>39</v>
      </c>
      <c r="I235" t="s">
        <v>912</v>
      </c>
      <c r="J235" t="s">
        <v>913</v>
      </c>
      <c r="K235" t="s">
        <v>903</v>
      </c>
      <c r="M235" t="s">
        <v>2991</v>
      </c>
      <c r="N235" t="s">
        <v>946</v>
      </c>
      <c r="O235" t="s">
        <v>2823</v>
      </c>
      <c r="P235" t="s">
        <v>27</v>
      </c>
      <c r="Q235" t="s">
        <v>939</v>
      </c>
      <c r="R235" t="s">
        <v>91</v>
      </c>
      <c r="S235">
        <v>206.3475</v>
      </c>
      <c r="T235">
        <v>3</v>
      </c>
      <c r="U235">
        <v>0.25</v>
      </c>
      <c r="V235">
        <v>-52.3125</v>
      </c>
      <c r="W235" s="3">
        <v>28.06</v>
      </c>
      <c r="X235" t="s">
        <v>933</v>
      </c>
    </row>
    <row r="236" spans="1:24" x14ac:dyDescent="0.25">
      <c r="A236">
        <v>23026</v>
      </c>
      <c r="B236" t="s">
        <v>1997</v>
      </c>
      <c r="C236" s="1">
        <v>41439</v>
      </c>
      <c r="D236" s="1">
        <v>41444</v>
      </c>
      <c r="E236" t="s">
        <v>19</v>
      </c>
      <c r="F236" t="s">
        <v>1328</v>
      </c>
      <c r="G236" t="s">
        <v>590</v>
      </c>
      <c r="H236" t="s">
        <v>20</v>
      </c>
      <c r="I236" t="s">
        <v>906</v>
      </c>
      <c r="J236" t="s">
        <v>902</v>
      </c>
      <c r="K236" t="s">
        <v>903</v>
      </c>
      <c r="M236" t="s">
        <v>2991</v>
      </c>
      <c r="N236" t="s">
        <v>946</v>
      </c>
      <c r="O236" t="s">
        <v>2486</v>
      </c>
      <c r="P236" t="s">
        <v>27</v>
      </c>
      <c r="Q236" t="s">
        <v>939</v>
      </c>
      <c r="R236" t="s">
        <v>215</v>
      </c>
      <c r="S236">
        <v>205.74</v>
      </c>
      <c r="T236">
        <v>2</v>
      </c>
      <c r="U236">
        <v>0.25</v>
      </c>
      <c r="V236">
        <v>-5.519999999999996</v>
      </c>
      <c r="W236" s="3">
        <v>17.22</v>
      </c>
      <c r="X236" t="s">
        <v>933</v>
      </c>
    </row>
    <row r="237" spans="1:24" x14ac:dyDescent="0.25">
      <c r="A237">
        <v>21067</v>
      </c>
      <c r="B237" t="s">
        <v>1881</v>
      </c>
      <c r="C237" s="1">
        <v>42324</v>
      </c>
      <c r="D237" s="1">
        <v>42329</v>
      </c>
      <c r="E237" t="s">
        <v>19</v>
      </c>
      <c r="F237" t="s">
        <v>1299</v>
      </c>
      <c r="G237" t="s">
        <v>615</v>
      </c>
      <c r="H237" t="s">
        <v>39</v>
      </c>
      <c r="I237" t="s">
        <v>906</v>
      </c>
      <c r="J237" t="s">
        <v>902</v>
      </c>
      <c r="K237" t="s">
        <v>903</v>
      </c>
      <c r="M237" t="s">
        <v>2991</v>
      </c>
      <c r="N237" t="s">
        <v>946</v>
      </c>
      <c r="O237" t="s">
        <v>2486</v>
      </c>
      <c r="P237" t="s">
        <v>27</v>
      </c>
      <c r="Q237" t="s">
        <v>939</v>
      </c>
      <c r="R237" t="s">
        <v>215</v>
      </c>
      <c r="S237">
        <v>205.74</v>
      </c>
      <c r="T237">
        <v>2</v>
      </c>
      <c r="U237">
        <v>0.25</v>
      </c>
      <c r="V237">
        <v>-5.519999999999996</v>
      </c>
      <c r="W237" s="3">
        <v>8.92</v>
      </c>
      <c r="X237" t="s">
        <v>933</v>
      </c>
    </row>
    <row r="238" spans="1:24" x14ac:dyDescent="0.25">
      <c r="A238">
        <v>26727</v>
      </c>
      <c r="B238" t="s">
        <v>2217</v>
      </c>
      <c r="C238" s="1">
        <v>42032</v>
      </c>
      <c r="D238" s="1">
        <v>42034</v>
      </c>
      <c r="E238" t="s">
        <v>47</v>
      </c>
      <c r="F238" t="s">
        <v>1073</v>
      </c>
      <c r="G238" t="s">
        <v>444</v>
      </c>
      <c r="H238" t="s">
        <v>39</v>
      </c>
      <c r="I238" t="s">
        <v>906</v>
      </c>
      <c r="J238" t="s">
        <v>902</v>
      </c>
      <c r="K238" t="s">
        <v>903</v>
      </c>
      <c r="M238" t="s">
        <v>2991</v>
      </c>
      <c r="N238" t="s">
        <v>946</v>
      </c>
      <c r="O238" t="s">
        <v>2533</v>
      </c>
      <c r="P238" t="s">
        <v>31</v>
      </c>
      <c r="Q238" t="s">
        <v>944</v>
      </c>
      <c r="R238" t="s">
        <v>646</v>
      </c>
      <c r="S238">
        <v>204.75</v>
      </c>
      <c r="T238">
        <v>2</v>
      </c>
      <c r="U238">
        <v>0.25</v>
      </c>
      <c r="V238">
        <v>-38.25</v>
      </c>
      <c r="W238" s="3">
        <v>42.74</v>
      </c>
      <c r="X238" t="s">
        <v>931</v>
      </c>
    </row>
    <row r="239" spans="1:24" x14ac:dyDescent="0.25">
      <c r="A239">
        <v>22593</v>
      </c>
      <c r="B239" t="s">
        <v>1970</v>
      </c>
      <c r="C239" s="1">
        <v>42342</v>
      </c>
      <c r="D239" s="1">
        <v>42347</v>
      </c>
      <c r="E239" t="s">
        <v>19</v>
      </c>
      <c r="F239" t="s">
        <v>1123</v>
      </c>
      <c r="G239" t="s">
        <v>660</v>
      </c>
      <c r="H239" t="s">
        <v>37</v>
      </c>
      <c r="I239" t="s">
        <v>906</v>
      </c>
      <c r="J239" t="s">
        <v>902</v>
      </c>
      <c r="K239" t="s">
        <v>903</v>
      </c>
      <c r="M239" t="s">
        <v>2991</v>
      </c>
      <c r="N239" t="s">
        <v>946</v>
      </c>
      <c r="O239" t="s">
        <v>2807</v>
      </c>
      <c r="P239" t="s">
        <v>27</v>
      </c>
      <c r="Q239" t="s">
        <v>939</v>
      </c>
      <c r="R239" t="s">
        <v>442</v>
      </c>
      <c r="S239">
        <v>199.66500000000002</v>
      </c>
      <c r="T239">
        <v>2</v>
      </c>
      <c r="U239">
        <v>0.25</v>
      </c>
      <c r="V239">
        <v>2.6249999999999858</v>
      </c>
      <c r="W239" s="3">
        <v>20.53</v>
      </c>
      <c r="X239" t="s">
        <v>931</v>
      </c>
    </row>
    <row r="240" spans="1:24" x14ac:dyDescent="0.25">
      <c r="A240">
        <v>30104</v>
      </c>
      <c r="B240" t="s">
        <v>2420</v>
      </c>
      <c r="C240" s="1">
        <v>42497</v>
      </c>
      <c r="D240" s="1">
        <v>42499</v>
      </c>
      <c r="E240" t="s">
        <v>43</v>
      </c>
      <c r="F240" t="s">
        <v>1064</v>
      </c>
      <c r="G240" t="s">
        <v>727</v>
      </c>
      <c r="H240" t="s">
        <v>20</v>
      </c>
      <c r="I240" t="s">
        <v>906</v>
      </c>
      <c r="J240" t="s">
        <v>902</v>
      </c>
      <c r="K240" t="s">
        <v>903</v>
      </c>
      <c r="M240" t="s">
        <v>2991</v>
      </c>
      <c r="N240" t="s">
        <v>946</v>
      </c>
      <c r="O240" t="s">
        <v>2880</v>
      </c>
      <c r="P240" t="s">
        <v>31</v>
      </c>
      <c r="Q240" t="s">
        <v>945</v>
      </c>
      <c r="R240" t="s">
        <v>510</v>
      </c>
      <c r="S240">
        <v>199.23750000000001</v>
      </c>
      <c r="T240">
        <v>5</v>
      </c>
      <c r="U240">
        <v>0.45</v>
      </c>
      <c r="V240">
        <v>18.037500000000023</v>
      </c>
      <c r="W240" s="3">
        <v>29.84</v>
      </c>
      <c r="X240" t="s">
        <v>931</v>
      </c>
    </row>
    <row r="241" spans="1:24" x14ac:dyDescent="0.25">
      <c r="A241">
        <v>25287</v>
      </c>
      <c r="B241" t="s">
        <v>2126</v>
      </c>
      <c r="C241" s="1">
        <v>41617</v>
      </c>
      <c r="D241" s="1">
        <v>41621</v>
      </c>
      <c r="E241" t="s">
        <v>19</v>
      </c>
      <c r="F241" t="s">
        <v>1031</v>
      </c>
      <c r="G241" t="s">
        <v>345</v>
      </c>
      <c r="H241" t="s">
        <v>20</v>
      </c>
      <c r="I241" t="s">
        <v>906</v>
      </c>
      <c r="J241" t="s">
        <v>902</v>
      </c>
      <c r="K241" t="s">
        <v>903</v>
      </c>
      <c r="M241" t="s">
        <v>2991</v>
      </c>
      <c r="N241" t="s">
        <v>946</v>
      </c>
      <c r="O241" t="s">
        <v>2841</v>
      </c>
      <c r="P241" t="s">
        <v>22</v>
      </c>
      <c r="Q241" t="s">
        <v>50</v>
      </c>
      <c r="R241" t="s">
        <v>665</v>
      </c>
      <c r="S241">
        <v>195.53400000000002</v>
      </c>
      <c r="T241">
        <v>4</v>
      </c>
      <c r="U241">
        <v>0.15000000000000002</v>
      </c>
      <c r="V241">
        <v>64.373999999999995</v>
      </c>
      <c r="W241" s="3">
        <v>14.53</v>
      </c>
      <c r="X241" t="s">
        <v>933</v>
      </c>
    </row>
    <row r="242" spans="1:24" x14ac:dyDescent="0.25">
      <c r="A242">
        <v>23562</v>
      </c>
      <c r="B242" t="s">
        <v>2036</v>
      </c>
      <c r="C242" s="1">
        <v>42111</v>
      </c>
      <c r="D242" s="1">
        <v>42115</v>
      </c>
      <c r="E242" t="s">
        <v>19</v>
      </c>
      <c r="F242" t="s">
        <v>1024</v>
      </c>
      <c r="G242" t="s">
        <v>775</v>
      </c>
      <c r="H242" t="s">
        <v>20</v>
      </c>
      <c r="I242" t="s">
        <v>906</v>
      </c>
      <c r="J242" t="s">
        <v>902</v>
      </c>
      <c r="K242" t="s">
        <v>903</v>
      </c>
      <c r="M242" t="s">
        <v>2991</v>
      </c>
      <c r="N242" t="s">
        <v>946</v>
      </c>
      <c r="O242" t="s">
        <v>2909</v>
      </c>
      <c r="P242" t="s">
        <v>27</v>
      </c>
      <c r="Q242" t="s">
        <v>29</v>
      </c>
      <c r="R242" t="s">
        <v>736</v>
      </c>
      <c r="S242">
        <v>194.76600000000005</v>
      </c>
      <c r="T242">
        <v>2</v>
      </c>
      <c r="U242">
        <v>0.35</v>
      </c>
      <c r="V242">
        <v>-95.934000000000012</v>
      </c>
      <c r="W242" s="3">
        <v>32.869999999999997</v>
      </c>
      <c r="X242" t="s">
        <v>931</v>
      </c>
    </row>
    <row r="243" spans="1:24" x14ac:dyDescent="0.25">
      <c r="A243">
        <v>25175</v>
      </c>
      <c r="B243" t="s">
        <v>2117</v>
      </c>
      <c r="C243" s="1">
        <v>42653</v>
      </c>
      <c r="D243" s="1">
        <v>42655</v>
      </c>
      <c r="E243" t="s">
        <v>43</v>
      </c>
      <c r="F243" t="s">
        <v>1092</v>
      </c>
      <c r="G243" t="s">
        <v>675</v>
      </c>
      <c r="H243" t="s">
        <v>39</v>
      </c>
      <c r="I243" t="s">
        <v>916</v>
      </c>
      <c r="J243" t="s">
        <v>911</v>
      </c>
      <c r="K243" t="s">
        <v>903</v>
      </c>
      <c r="M243" t="s">
        <v>2991</v>
      </c>
      <c r="N243" t="s">
        <v>946</v>
      </c>
      <c r="O243" t="s">
        <v>2909</v>
      </c>
      <c r="P243" t="s">
        <v>27</v>
      </c>
      <c r="Q243" t="s">
        <v>29</v>
      </c>
      <c r="R243" t="s">
        <v>736</v>
      </c>
      <c r="S243">
        <v>194.76600000000005</v>
      </c>
      <c r="T243">
        <v>2</v>
      </c>
      <c r="U243">
        <v>0.35</v>
      </c>
      <c r="V243">
        <v>-95.934000000000012</v>
      </c>
      <c r="W243" s="3">
        <v>31.73</v>
      </c>
      <c r="X243" t="s">
        <v>931</v>
      </c>
    </row>
    <row r="244" spans="1:24" x14ac:dyDescent="0.25">
      <c r="A244">
        <v>29436</v>
      </c>
      <c r="B244" t="s">
        <v>2377</v>
      </c>
      <c r="C244" s="1">
        <v>42518</v>
      </c>
      <c r="D244" s="1">
        <v>42525</v>
      </c>
      <c r="E244" t="s">
        <v>19</v>
      </c>
      <c r="F244" t="s">
        <v>958</v>
      </c>
      <c r="G244" t="s">
        <v>330</v>
      </c>
      <c r="H244" t="s">
        <v>37</v>
      </c>
      <c r="I244" t="s">
        <v>901</v>
      </c>
      <c r="J244" t="s">
        <v>902</v>
      </c>
      <c r="K244" t="s">
        <v>903</v>
      </c>
      <c r="M244" t="s">
        <v>2991</v>
      </c>
      <c r="N244" t="s">
        <v>946</v>
      </c>
      <c r="O244" t="s">
        <v>2744</v>
      </c>
      <c r="P244" t="s">
        <v>31</v>
      </c>
      <c r="Q244" t="s">
        <v>944</v>
      </c>
      <c r="R244" t="s">
        <v>55</v>
      </c>
      <c r="S244">
        <v>194.67000000000002</v>
      </c>
      <c r="T244">
        <v>2</v>
      </c>
      <c r="U244">
        <v>0.25</v>
      </c>
      <c r="V244">
        <v>5.1899999999999977</v>
      </c>
      <c r="W244" s="3">
        <v>14.99</v>
      </c>
      <c r="X244" t="s">
        <v>933</v>
      </c>
    </row>
    <row r="245" spans="1:24" x14ac:dyDescent="0.25">
      <c r="A245">
        <v>23861</v>
      </c>
      <c r="B245" t="s">
        <v>2051</v>
      </c>
      <c r="C245" s="1">
        <v>42013</v>
      </c>
      <c r="D245" s="1">
        <v>42015</v>
      </c>
      <c r="E245" t="s">
        <v>43</v>
      </c>
      <c r="F245" t="s">
        <v>983</v>
      </c>
      <c r="G245" t="s">
        <v>790</v>
      </c>
      <c r="H245" t="s">
        <v>37</v>
      </c>
      <c r="I245" t="s">
        <v>918</v>
      </c>
      <c r="J245" t="s">
        <v>911</v>
      </c>
      <c r="K245" t="s">
        <v>903</v>
      </c>
      <c r="M245" t="s">
        <v>2991</v>
      </c>
      <c r="N245" t="s">
        <v>946</v>
      </c>
      <c r="O245" t="s">
        <v>2824</v>
      </c>
      <c r="P245" t="s">
        <v>31</v>
      </c>
      <c r="Q245" t="s">
        <v>938</v>
      </c>
      <c r="R245" t="s">
        <v>880</v>
      </c>
      <c r="S245">
        <v>194.19749999999999</v>
      </c>
      <c r="T245">
        <v>3</v>
      </c>
      <c r="U245">
        <v>0.25</v>
      </c>
      <c r="V245">
        <v>-36.292500000000004</v>
      </c>
      <c r="W245" s="3">
        <v>31.59</v>
      </c>
      <c r="X245" t="s">
        <v>931</v>
      </c>
    </row>
    <row r="246" spans="1:24" x14ac:dyDescent="0.25">
      <c r="A246">
        <v>25006</v>
      </c>
      <c r="B246" t="s">
        <v>2110</v>
      </c>
      <c r="C246" s="1">
        <v>41819</v>
      </c>
      <c r="D246" s="1">
        <v>41826</v>
      </c>
      <c r="E246" t="s">
        <v>19</v>
      </c>
      <c r="F246" t="s">
        <v>1032</v>
      </c>
      <c r="G246" t="s">
        <v>740</v>
      </c>
      <c r="H246" t="s">
        <v>39</v>
      </c>
      <c r="I246" t="s">
        <v>901</v>
      </c>
      <c r="J246" t="s">
        <v>902</v>
      </c>
      <c r="K246" t="s">
        <v>903</v>
      </c>
      <c r="M246" t="s">
        <v>2991</v>
      </c>
      <c r="N246" t="s">
        <v>946</v>
      </c>
      <c r="O246" t="s">
        <v>2955</v>
      </c>
      <c r="P246" t="s">
        <v>31</v>
      </c>
      <c r="Q246" t="s">
        <v>938</v>
      </c>
      <c r="R246" t="s">
        <v>461</v>
      </c>
      <c r="S246">
        <v>194.0625</v>
      </c>
      <c r="T246">
        <v>5</v>
      </c>
      <c r="U246">
        <v>0.25</v>
      </c>
      <c r="V246">
        <v>23.212500000000006</v>
      </c>
      <c r="W246" s="3">
        <v>15.53</v>
      </c>
      <c r="X246" t="s">
        <v>933</v>
      </c>
    </row>
    <row r="247" spans="1:24" x14ac:dyDescent="0.25">
      <c r="A247">
        <v>22735</v>
      </c>
      <c r="B247" t="s">
        <v>1981</v>
      </c>
      <c r="C247" s="1">
        <v>41949</v>
      </c>
      <c r="D247" s="1">
        <v>41954</v>
      </c>
      <c r="E247" t="s">
        <v>19</v>
      </c>
      <c r="F247" t="s">
        <v>1104</v>
      </c>
      <c r="G247" t="s">
        <v>118</v>
      </c>
      <c r="H247" t="s">
        <v>37</v>
      </c>
      <c r="I247" t="s">
        <v>906</v>
      </c>
      <c r="J247" t="s">
        <v>902</v>
      </c>
      <c r="K247" t="s">
        <v>903</v>
      </c>
      <c r="M247" t="s">
        <v>2991</v>
      </c>
      <c r="N247" t="s">
        <v>946</v>
      </c>
      <c r="O247" t="s">
        <v>2803</v>
      </c>
      <c r="P247" t="s">
        <v>27</v>
      </c>
      <c r="Q247" t="s">
        <v>29</v>
      </c>
      <c r="R247" t="s">
        <v>337</v>
      </c>
      <c r="S247">
        <v>193.245</v>
      </c>
      <c r="T247">
        <v>2</v>
      </c>
      <c r="U247">
        <v>0.35</v>
      </c>
      <c r="V247">
        <v>-50.594999999999992</v>
      </c>
      <c r="W247" s="3">
        <v>15.26</v>
      </c>
      <c r="X247" t="s">
        <v>933</v>
      </c>
    </row>
    <row r="248" spans="1:24" x14ac:dyDescent="0.25">
      <c r="A248">
        <v>23069</v>
      </c>
      <c r="B248" t="s">
        <v>2002</v>
      </c>
      <c r="C248" s="1">
        <v>42706</v>
      </c>
      <c r="D248" s="1">
        <v>42713</v>
      </c>
      <c r="E248" t="s">
        <v>19</v>
      </c>
      <c r="F248" t="s">
        <v>1220</v>
      </c>
      <c r="G248" t="s">
        <v>492</v>
      </c>
      <c r="H248" t="s">
        <v>20</v>
      </c>
      <c r="I248" t="s">
        <v>901</v>
      </c>
      <c r="J248" t="s">
        <v>902</v>
      </c>
      <c r="K248" t="s">
        <v>903</v>
      </c>
      <c r="M248" t="s">
        <v>2991</v>
      </c>
      <c r="N248" t="s">
        <v>946</v>
      </c>
      <c r="O248" t="s">
        <v>2869</v>
      </c>
      <c r="P248" t="s">
        <v>22</v>
      </c>
      <c r="Q248" t="s">
        <v>30</v>
      </c>
      <c r="R248" t="s">
        <v>379</v>
      </c>
      <c r="S248">
        <v>191.84550000000002</v>
      </c>
      <c r="T248">
        <v>7</v>
      </c>
      <c r="U248">
        <v>0.45</v>
      </c>
      <c r="V248">
        <v>-9.4500000000010687E-2</v>
      </c>
      <c r="W248" s="3">
        <v>25.06</v>
      </c>
      <c r="X248" t="s">
        <v>934</v>
      </c>
    </row>
    <row r="249" spans="1:24" x14ac:dyDescent="0.25">
      <c r="A249">
        <v>20884</v>
      </c>
      <c r="B249" t="s">
        <v>1873</v>
      </c>
      <c r="C249" s="1">
        <v>41710</v>
      </c>
      <c r="D249" s="1">
        <v>41715</v>
      </c>
      <c r="E249" t="s">
        <v>19</v>
      </c>
      <c r="F249" t="s">
        <v>1123</v>
      </c>
      <c r="G249" t="s">
        <v>660</v>
      </c>
      <c r="H249" t="s">
        <v>37</v>
      </c>
      <c r="I249" t="s">
        <v>906</v>
      </c>
      <c r="J249" t="s">
        <v>902</v>
      </c>
      <c r="K249" t="s">
        <v>903</v>
      </c>
      <c r="M249" t="s">
        <v>2991</v>
      </c>
      <c r="N249" t="s">
        <v>946</v>
      </c>
      <c r="O249" t="s">
        <v>2618</v>
      </c>
      <c r="P249" t="s">
        <v>31</v>
      </c>
      <c r="Q249" t="s">
        <v>943</v>
      </c>
      <c r="R249" t="s">
        <v>292</v>
      </c>
      <c r="S249">
        <v>191.49</v>
      </c>
      <c r="T249">
        <v>2</v>
      </c>
      <c r="U249">
        <v>0.35</v>
      </c>
      <c r="V249">
        <v>-64.83</v>
      </c>
      <c r="W249" s="3">
        <v>9.64</v>
      </c>
      <c r="X249" t="s">
        <v>933</v>
      </c>
    </row>
    <row r="250" spans="1:24" x14ac:dyDescent="0.25">
      <c r="A250">
        <v>26122</v>
      </c>
      <c r="B250" t="s">
        <v>2178</v>
      </c>
      <c r="C250" s="1">
        <v>42288</v>
      </c>
      <c r="D250" s="1">
        <v>42293</v>
      </c>
      <c r="E250" t="s">
        <v>19</v>
      </c>
      <c r="F250" t="s">
        <v>1258</v>
      </c>
      <c r="G250" t="s">
        <v>826</v>
      </c>
      <c r="H250" t="s">
        <v>20</v>
      </c>
      <c r="I250" t="s">
        <v>918</v>
      </c>
      <c r="J250" t="s">
        <v>911</v>
      </c>
      <c r="K250" t="s">
        <v>903</v>
      </c>
      <c r="M250" t="s">
        <v>2991</v>
      </c>
      <c r="N250" t="s">
        <v>946</v>
      </c>
      <c r="O250" t="s">
        <v>2604</v>
      </c>
      <c r="P250" t="s">
        <v>27</v>
      </c>
      <c r="Q250" t="s">
        <v>939</v>
      </c>
      <c r="R250" t="s">
        <v>60</v>
      </c>
      <c r="S250">
        <v>190.07999999999998</v>
      </c>
      <c r="T250">
        <v>3</v>
      </c>
      <c r="U250">
        <v>0.25</v>
      </c>
      <c r="V250">
        <v>-53.28</v>
      </c>
      <c r="W250" s="3">
        <v>23.79</v>
      </c>
      <c r="X250" t="s">
        <v>931</v>
      </c>
    </row>
    <row r="251" spans="1:24" x14ac:dyDescent="0.25">
      <c r="A251">
        <v>25996</v>
      </c>
      <c r="B251" t="s">
        <v>2166</v>
      </c>
      <c r="C251" s="1">
        <v>41533</v>
      </c>
      <c r="D251" s="1">
        <v>41536</v>
      </c>
      <c r="E251" t="s">
        <v>47</v>
      </c>
      <c r="F251" t="s">
        <v>1044</v>
      </c>
      <c r="G251" t="s">
        <v>203</v>
      </c>
      <c r="H251" t="s">
        <v>37</v>
      </c>
      <c r="I251" t="s">
        <v>901</v>
      </c>
      <c r="J251" t="s">
        <v>902</v>
      </c>
      <c r="K251" t="s">
        <v>903</v>
      </c>
      <c r="M251" t="s">
        <v>2991</v>
      </c>
      <c r="N251" t="s">
        <v>946</v>
      </c>
      <c r="O251" t="s">
        <v>2576</v>
      </c>
      <c r="P251" t="s">
        <v>27</v>
      </c>
      <c r="Q251" t="s">
        <v>939</v>
      </c>
      <c r="R251" t="s">
        <v>631</v>
      </c>
      <c r="S251">
        <v>188.79749999999999</v>
      </c>
      <c r="T251">
        <v>3</v>
      </c>
      <c r="U251">
        <v>0.25</v>
      </c>
      <c r="V251">
        <v>60.367499999999986</v>
      </c>
      <c r="W251" s="3">
        <v>42.22</v>
      </c>
      <c r="X251" t="s">
        <v>933</v>
      </c>
    </row>
    <row r="252" spans="1:24" x14ac:dyDescent="0.25">
      <c r="A252">
        <v>20775</v>
      </c>
      <c r="B252" t="s">
        <v>1864</v>
      </c>
      <c r="C252" s="1">
        <v>41651</v>
      </c>
      <c r="D252" s="1">
        <v>41656</v>
      </c>
      <c r="E252" t="s">
        <v>19</v>
      </c>
      <c r="F252" t="s">
        <v>1107</v>
      </c>
      <c r="G252" t="s">
        <v>385</v>
      </c>
      <c r="H252" t="s">
        <v>20</v>
      </c>
      <c r="I252" t="s">
        <v>901</v>
      </c>
      <c r="J252" t="s">
        <v>902</v>
      </c>
      <c r="K252" t="s">
        <v>903</v>
      </c>
      <c r="M252" t="s">
        <v>2991</v>
      </c>
      <c r="N252" t="s">
        <v>946</v>
      </c>
      <c r="O252" t="s">
        <v>2594</v>
      </c>
      <c r="P252" t="s">
        <v>31</v>
      </c>
      <c r="Q252" t="s">
        <v>938</v>
      </c>
      <c r="R252" t="s">
        <v>870</v>
      </c>
      <c r="S252">
        <v>187.51500000000001</v>
      </c>
      <c r="T252">
        <v>3</v>
      </c>
      <c r="U252">
        <v>0.25</v>
      </c>
      <c r="V252">
        <v>-17.505000000000003</v>
      </c>
      <c r="W252" s="3">
        <v>11.15</v>
      </c>
      <c r="X252" t="s">
        <v>933</v>
      </c>
    </row>
    <row r="253" spans="1:24" x14ac:dyDescent="0.25">
      <c r="A253">
        <v>27867</v>
      </c>
      <c r="B253" t="s">
        <v>2296</v>
      </c>
      <c r="C253" s="1">
        <v>41564</v>
      </c>
      <c r="D253" s="1">
        <v>41570</v>
      </c>
      <c r="E253" t="s">
        <v>19</v>
      </c>
      <c r="F253" t="s">
        <v>1193</v>
      </c>
      <c r="G253" t="s">
        <v>124</v>
      </c>
      <c r="H253" t="s">
        <v>20</v>
      </c>
      <c r="I253" t="s">
        <v>906</v>
      </c>
      <c r="J253" t="s">
        <v>902</v>
      </c>
      <c r="K253" t="s">
        <v>903</v>
      </c>
      <c r="M253" t="s">
        <v>2991</v>
      </c>
      <c r="N253" t="s">
        <v>946</v>
      </c>
      <c r="O253" t="s">
        <v>2767</v>
      </c>
      <c r="P253" t="s">
        <v>27</v>
      </c>
      <c r="Q253" t="s">
        <v>939</v>
      </c>
      <c r="R253" t="s">
        <v>438</v>
      </c>
      <c r="S253">
        <v>185.01749999999998</v>
      </c>
      <c r="T253">
        <v>3</v>
      </c>
      <c r="U253">
        <v>0.25</v>
      </c>
      <c r="V253">
        <v>-7.4025000000000034</v>
      </c>
      <c r="W253" s="3">
        <v>20.68</v>
      </c>
      <c r="X253" t="s">
        <v>933</v>
      </c>
    </row>
    <row r="254" spans="1:24" x14ac:dyDescent="0.25">
      <c r="A254">
        <v>21879</v>
      </c>
      <c r="B254" t="s">
        <v>1926</v>
      </c>
      <c r="C254" s="1">
        <v>42715</v>
      </c>
      <c r="D254" s="1">
        <v>42719</v>
      </c>
      <c r="E254" t="s">
        <v>19</v>
      </c>
      <c r="F254" t="s">
        <v>1163</v>
      </c>
      <c r="G254" t="s">
        <v>863</v>
      </c>
      <c r="H254" t="s">
        <v>39</v>
      </c>
      <c r="I254" t="s">
        <v>906</v>
      </c>
      <c r="J254" t="s">
        <v>902</v>
      </c>
      <c r="K254" t="s">
        <v>903</v>
      </c>
      <c r="M254" t="s">
        <v>2991</v>
      </c>
      <c r="N254" t="s">
        <v>946</v>
      </c>
      <c r="O254" t="s">
        <v>2767</v>
      </c>
      <c r="P254" t="s">
        <v>27</v>
      </c>
      <c r="Q254" t="s">
        <v>939</v>
      </c>
      <c r="R254" t="s">
        <v>438</v>
      </c>
      <c r="S254">
        <v>185.01749999999998</v>
      </c>
      <c r="T254">
        <v>3</v>
      </c>
      <c r="U254">
        <v>0.25</v>
      </c>
      <c r="V254">
        <v>-7.4025000000000034</v>
      </c>
      <c r="W254" s="3">
        <v>7.38</v>
      </c>
      <c r="X254" t="s">
        <v>933</v>
      </c>
    </row>
    <row r="255" spans="1:24" x14ac:dyDescent="0.25">
      <c r="A255">
        <v>23135</v>
      </c>
      <c r="B255" t="s">
        <v>2008</v>
      </c>
      <c r="C255" s="1">
        <v>42512</v>
      </c>
      <c r="D255" s="1">
        <v>42517</v>
      </c>
      <c r="E255" t="s">
        <v>43</v>
      </c>
      <c r="F255" t="s">
        <v>1191</v>
      </c>
      <c r="G255" t="s">
        <v>339</v>
      </c>
      <c r="H255" t="s">
        <v>39</v>
      </c>
      <c r="I255" t="s">
        <v>906</v>
      </c>
      <c r="J255" t="s">
        <v>902</v>
      </c>
      <c r="K255" t="s">
        <v>903</v>
      </c>
      <c r="M255" t="s">
        <v>2991</v>
      </c>
      <c r="N255" t="s">
        <v>946</v>
      </c>
      <c r="O255" t="s">
        <v>2770</v>
      </c>
      <c r="P255" t="s">
        <v>31</v>
      </c>
      <c r="Q255" t="s">
        <v>945</v>
      </c>
      <c r="R255" t="s">
        <v>462</v>
      </c>
      <c r="S255">
        <v>184.536</v>
      </c>
      <c r="T255">
        <v>4</v>
      </c>
      <c r="U255">
        <v>0.45</v>
      </c>
      <c r="V255">
        <v>-134.304</v>
      </c>
      <c r="W255" s="3">
        <v>13.87</v>
      </c>
      <c r="X255" t="s">
        <v>933</v>
      </c>
    </row>
    <row r="256" spans="1:24" x14ac:dyDescent="0.25">
      <c r="A256">
        <v>27150</v>
      </c>
      <c r="B256" t="s">
        <v>2247</v>
      </c>
      <c r="C256" s="1">
        <v>41603</v>
      </c>
      <c r="D256" s="1">
        <v>41608</v>
      </c>
      <c r="E256" t="s">
        <v>19</v>
      </c>
      <c r="F256" t="s">
        <v>1019</v>
      </c>
      <c r="G256" t="s">
        <v>828</v>
      </c>
      <c r="H256" t="s">
        <v>20</v>
      </c>
      <c r="I256" t="s">
        <v>918</v>
      </c>
      <c r="J256" t="s">
        <v>911</v>
      </c>
      <c r="K256" t="s">
        <v>903</v>
      </c>
      <c r="M256" t="s">
        <v>2991</v>
      </c>
      <c r="N256" t="s">
        <v>946</v>
      </c>
      <c r="O256" t="s">
        <v>1834</v>
      </c>
      <c r="P256" t="s">
        <v>27</v>
      </c>
      <c r="Q256" t="s">
        <v>29</v>
      </c>
      <c r="R256" t="s">
        <v>752</v>
      </c>
      <c r="S256">
        <v>183.88499999999999</v>
      </c>
      <c r="T256">
        <v>2</v>
      </c>
      <c r="U256">
        <v>0.35</v>
      </c>
      <c r="V256">
        <v>-82.094999999999985</v>
      </c>
      <c r="W256" s="3">
        <v>11.54</v>
      </c>
      <c r="X256" t="s">
        <v>933</v>
      </c>
    </row>
    <row r="257" spans="1:24" x14ac:dyDescent="0.25">
      <c r="A257">
        <v>25339</v>
      </c>
      <c r="B257" t="s">
        <v>2131</v>
      </c>
      <c r="C257" s="1">
        <v>42315</v>
      </c>
      <c r="D257" s="1">
        <v>42319</v>
      </c>
      <c r="E257" t="s">
        <v>19</v>
      </c>
      <c r="F257" t="s">
        <v>1058</v>
      </c>
      <c r="G257" t="s">
        <v>694</v>
      </c>
      <c r="H257" t="s">
        <v>20</v>
      </c>
      <c r="I257" t="s">
        <v>906</v>
      </c>
      <c r="J257" t="s">
        <v>902</v>
      </c>
      <c r="K257" t="s">
        <v>903</v>
      </c>
      <c r="M257" t="s">
        <v>2991</v>
      </c>
      <c r="N257" t="s">
        <v>946</v>
      </c>
      <c r="O257" t="s">
        <v>2963</v>
      </c>
      <c r="P257" t="s">
        <v>27</v>
      </c>
      <c r="Q257" t="s">
        <v>936</v>
      </c>
      <c r="R257" t="s">
        <v>703</v>
      </c>
      <c r="S257">
        <v>180.72000000000003</v>
      </c>
      <c r="T257">
        <v>8</v>
      </c>
      <c r="U257">
        <v>0.25</v>
      </c>
      <c r="V257">
        <v>-9.8400000000000034</v>
      </c>
      <c r="W257" s="3">
        <v>13.88</v>
      </c>
      <c r="X257" t="s">
        <v>931</v>
      </c>
    </row>
    <row r="258" spans="1:24" x14ac:dyDescent="0.25">
      <c r="A258">
        <v>21680</v>
      </c>
      <c r="B258" t="s">
        <v>1912</v>
      </c>
      <c r="C258" s="1">
        <v>42299</v>
      </c>
      <c r="D258" s="1">
        <v>42305</v>
      </c>
      <c r="E258" t="s">
        <v>19</v>
      </c>
      <c r="F258" t="s">
        <v>978</v>
      </c>
      <c r="G258" t="s">
        <v>496</v>
      </c>
      <c r="H258" t="s">
        <v>37</v>
      </c>
      <c r="I258" t="s">
        <v>906</v>
      </c>
      <c r="J258" t="s">
        <v>902</v>
      </c>
      <c r="K258" t="s">
        <v>903</v>
      </c>
      <c r="M258" t="s">
        <v>2991</v>
      </c>
      <c r="N258" t="s">
        <v>946</v>
      </c>
      <c r="O258" t="s">
        <v>2743</v>
      </c>
      <c r="P258" t="s">
        <v>22</v>
      </c>
      <c r="Q258" t="s">
        <v>942</v>
      </c>
      <c r="R258" t="s">
        <v>586</v>
      </c>
      <c r="S258">
        <v>180.28499999999997</v>
      </c>
      <c r="T258">
        <v>7</v>
      </c>
      <c r="U258">
        <v>0.15000000000000002</v>
      </c>
      <c r="V258">
        <v>53.025000000000006</v>
      </c>
      <c r="W258" s="3">
        <v>14.27</v>
      </c>
      <c r="X258" t="s">
        <v>933</v>
      </c>
    </row>
    <row r="259" spans="1:24" x14ac:dyDescent="0.25">
      <c r="A259">
        <v>20885</v>
      </c>
      <c r="B259" t="s">
        <v>1873</v>
      </c>
      <c r="C259" s="1">
        <v>41710</v>
      </c>
      <c r="D259" s="1">
        <v>41715</v>
      </c>
      <c r="E259" t="s">
        <v>19</v>
      </c>
      <c r="F259" t="s">
        <v>1123</v>
      </c>
      <c r="G259" t="s">
        <v>660</v>
      </c>
      <c r="H259" t="s">
        <v>37</v>
      </c>
      <c r="I259" t="s">
        <v>906</v>
      </c>
      <c r="J259" t="s">
        <v>902</v>
      </c>
      <c r="K259" t="s">
        <v>903</v>
      </c>
      <c r="M259" t="s">
        <v>2991</v>
      </c>
      <c r="N259" t="s">
        <v>946</v>
      </c>
      <c r="O259" t="s">
        <v>2619</v>
      </c>
      <c r="P259" t="s">
        <v>27</v>
      </c>
      <c r="Q259" t="s">
        <v>939</v>
      </c>
      <c r="R259" t="s">
        <v>36</v>
      </c>
      <c r="S259">
        <v>177.72749999999996</v>
      </c>
      <c r="T259">
        <v>3</v>
      </c>
      <c r="U259">
        <v>0.25</v>
      </c>
      <c r="V259">
        <v>-26.122499999999988</v>
      </c>
      <c r="W259" s="3">
        <v>8.4600000000000009</v>
      </c>
      <c r="X259" t="s">
        <v>933</v>
      </c>
    </row>
    <row r="260" spans="1:24" x14ac:dyDescent="0.25">
      <c r="A260">
        <v>22623</v>
      </c>
      <c r="B260" t="s">
        <v>1971</v>
      </c>
      <c r="C260" s="1">
        <v>42631</v>
      </c>
      <c r="D260" s="1">
        <v>42636</v>
      </c>
      <c r="E260" t="s">
        <v>19</v>
      </c>
      <c r="F260" t="s">
        <v>1206</v>
      </c>
      <c r="G260" t="s">
        <v>649</v>
      </c>
      <c r="H260" t="s">
        <v>20</v>
      </c>
      <c r="I260" t="s">
        <v>901</v>
      </c>
      <c r="J260" t="s">
        <v>902</v>
      </c>
      <c r="K260" t="s">
        <v>903</v>
      </c>
      <c r="M260" t="s">
        <v>2991</v>
      </c>
      <c r="N260" t="s">
        <v>946</v>
      </c>
      <c r="O260" t="s">
        <v>2854</v>
      </c>
      <c r="P260" t="s">
        <v>27</v>
      </c>
      <c r="Q260" t="s">
        <v>936</v>
      </c>
      <c r="R260" t="s">
        <v>28</v>
      </c>
      <c r="S260">
        <v>177.3</v>
      </c>
      <c r="T260">
        <v>5</v>
      </c>
      <c r="U260">
        <v>0.25</v>
      </c>
      <c r="V260">
        <v>40.050000000000004</v>
      </c>
      <c r="W260" s="3">
        <v>8.6199999999999992</v>
      </c>
      <c r="X260" t="s">
        <v>933</v>
      </c>
    </row>
    <row r="261" spans="1:24" x14ac:dyDescent="0.25">
      <c r="A261">
        <v>26701</v>
      </c>
      <c r="B261" t="s">
        <v>2216</v>
      </c>
      <c r="C261" s="1">
        <v>41455</v>
      </c>
      <c r="D261" s="1">
        <v>41459</v>
      </c>
      <c r="E261" t="s">
        <v>19</v>
      </c>
      <c r="F261" t="s">
        <v>1137</v>
      </c>
      <c r="G261" t="s">
        <v>585</v>
      </c>
      <c r="H261" t="s">
        <v>37</v>
      </c>
      <c r="I261" t="s">
        <v>917</v>
      </c>
      <c r="J261" t="s">
        <v>915</v>
      </c>
      <c r="K261" t="s">
        <v>903</v>
      </c>
      <c r="M261" t="s">
        <v>2991</v>
      </c>
      <c r="N261" t="s">
        <v>946</v>
      </c>
      <c r="O261" t="s">
        <v>2983</v>
      </c>
      <c r="P261" t="s">
        <v>27</v>
      </c>
      <c r="Q261" t="s">
        <v>939</v>
      </c>
      <c r="R261" t="s">
        <v>249</v>
      </c>
      <c r="S261">
        <v>176.49</v>
      </c>
      <c r="T261">
        <v>4</v>
      </c>
      <c r="U261">
        <v>0.25</v>
      </c>
      <c r="V261">
        <v>-58.83</v>
      </c>
      <c r="W261" s="3">
        <v>9.52</v>
      </c>
      <c r="X261" t="s">
        <v>933</v>
      </c>
    </row>
    <row r="262" spans="1:24" x14ac:dyDescent="0.25">
      <c r="A262">
        <v>22476</v>
      </c>
      <c r="B262" t="s">
        <v>1963</v>
      </c>
      <c r="C262" s="1">
        <v>42638</v>
      </c>
      <c r="D262" s="1">
        <v>42644</v>
      </c>
      <c r="E262" t="s">
        <v>19</v>
      </c>
      <c r="F262" t="s">
        <v>1337</v>
      </c>
      <c r="G262" t="s">
        <v>602</v>
      </c>
      <c r="H262" t="s">
        <v>20</v>
      </c>
      <c r="I262" t="s">
        <v>901</v>
      </c>
      <c r="J262" t="s">
        <v>902</v>
      </c>
      <c r="K262" t="s">
        <v>903</v>
      </c>
      <c r="M262" t="s">
        <v>2991</v>
      </c>
      <c r="N262" t="s">
        <v>946</v>
      </c>
      <c r="O262" t="s">
        <v>2708</v>
      </c>
      <c r="P262" t="s">
        <v>22</v>
      </c>
      <c r="Q262" t="s">
        <v>940</v>
      </c>
      <c r="R262" t="s">
        <v>779</v>
      </c>
      <c r="S262">
        <v>175.82399999999998</v>
      </c>
      <c r="T262">
        <v>9</v>
      </c>
      <c r="U262">
        <v>0.45</v>
      </c>
      <c r="V262">
        <v>-140.886</v>
      </c>
      <c r="W262" s="3">
        <v>21.38</v>
      </c>
      <c r="X262" t="s">
        <v>934</v>
      </c>
    </row>
    <row r="263" spans="1:24" x14ac:dyDescent="0.25">
      <c r="A263">
        <v>30180</v>
      </c>
      <c r="B263" t="s">
        <v>2426</v>
      </c>
      <c r="C263" s="1">
        <v>41519</v>
      </c>
      <c r="D263" s="1">
        <v>41521</v>
      </c>
      <c r="E263" t="s">
        <v>43</v>
      </c>
      <c r="F263" t="s">
        <v>1188</v>
      </c>
      <c r="G263" t="s">
        <v>606</v>
      </c>
      <c r="H263" t="s">
        <v>20</v>
      </c>
      <c r="I263" t="s">
        <v>906</v>
      </c>
      <c r="J263" t="s">
        <v>902</v>
      </c>
      <c r="K263" t="s">
        <v>903</v>
      </c>
      <c r="M263" t="s">
        <v>2991</v>
      </c>
      <c r="N263" t="s">
        <v>946</v>
      </c>
      <c r="O263" t="s">
        <v>2684</v>
      </c>
      <c r="P263" t="s">
        <v>27</v>
      </c>
      <c r="Q263" t="s">
        <v>936</v>
      </c>
      <c r="R263" t="s">
        <v>584</v>
      </c>
      <c r="S263">
        <v>174.32999999999998</v>
      </c>
      <c r="T263">
        <v>4</v>
      </c>
      <c r="U263">
        <v>0.25</v>
      </c>
      <c r="V263">
        <v>27.810000000000002</v>
      </c>
      <c r="W263" s="3">
        <v>17.829999999999998</v>
      </c>
      <c r="X263" t="s">
        <v>933</v>
      </c>
    </row>
    <row r="264" spans="1:24" x14ac:dyDescent="0.25">
      <c r="A264">
        <v>21015</v>
      </c>
      <c r="B264" t="s">
        <v>1877</v>
      </c>
      <c r="C264" s="1">
        <v>41326</v>
      </c>
      <c r="D264" s="1">
        <v>41326</v>
      </c>
      <c r="E264" t="s">
        <v>58</v>
      </c>
      <c r="F264" t="s">
        <v>1049</v>
      </c>
      <c r="G264" t="s">
        <v>839</v>
      </c>
      <c r="H264" t="s">
        <v>20</v>
      </c>
      <c r="I264" t="s">
        <v>906</v>
      </c>
      <c r="J264" t="s">
        <v>902</v>
      </c>
      <c r="K264" t="s">
        <v>903</v>
      </c>
      <c r="M264" t="s">
        <v>2991</v>
      </c>
      <c r="N264" t="s">
        <v>946</v>
      </c>
      <c r="O264" t="s">
        <v>2649</v>
      </c>
      <c r="P264" t="s">
        <v>22</v>
      </c>
      <c r="Q264" t="s">
        <v>69</v>
      </c>
      <c r="R264" t="s">
        <v>116</v>
      </c>
      <c r="S264">
        <v>173.34900000000002</v>
      </c>
      <c r="T264">
        <v>6</v>
      </c>
      <c r="U264">
        <v>0.45</v>
      </c>
      <c r="V264">
        <v>-104.03100000000001</v>
      </c>
      <c r="W264" s="3">
        <v>37.06</v>
      </c>
      <c r="X264" t="s">
        <v>931</v>
      </c>
    </row>
    <row r="265" spans="1:24" x14ac:dyDescent="0.25">
      <c r="A265">
        <v>25841</v>
      </c>
      <c r="B265" t="s">
        <v>2160</v>
      </c>
      <c r="C265" s="1">
        <v>42244</v>
      </c>
      <c r="D265" s="1">
        <v>42251</v>
      </c>
      <c r="E265" t="s">
        <v>19</v>
      </c>
      <c r="F265" t="s">
        <v>1136</v>
      </c>
      <c r="G265" t="s">
        <v>661</v>
      </c>
      <c r="H265" t="s">
        <v>39</v>
      </c>
      <c r="I265" t="s">
        <v>907</v>
      </c>
      <c r="J265" t="s">
        <v>902</v>
      </c>
      <c r="K265" t="s">
        <v>903</v>
      </c>
      <c r="M265" t="s">
        <v>2991</v>
      </c>
      <c r="N265" t="s">
        <v>946</v>
      </c>
      <c r="O265" t="s">
        <v>2697</v>
      </c>
      <c r="P265" t="s">
        <v>22</v>
      </c>
      <c r="Q265" t="s">
        <v>935</v>
      </c>
      <c r="R265" t="s">
        <v>866</v>
      </c>
      <c r="S265">
        <v>170.94</v>
      </c>
      <c r="T265">
        <v>5</v>
      </c>
      <c r="U265">
        <v>0.45</v>
      </c>
      <c r="V265">
        <v>-34.259999999999977</v>
      </c>
      <c r="W265" s="3">
        <v>19.7</v>
      </c>
      <c r="X265" t="s">
        <v>934</v>
      </c>
    </row>
    <row r="266" spans="1:24" x14ac:dyDescent="0.25">
      <c r="A266">
        <v>28306</v>
      </c>
      <c r="B266" t="s">
        <v>2320</v>
      </c>
      <c r="C266" s="1">
        <v>42451</v>
      </c>
      <c r="D266" s="1">
        <v>42453</v>
      </c>
      <c r="E266" t="s">
        <v>43</v>
      </c>
      <c r="F266" t="s">
        <v>1056</v>
      </c>
      <c r="G266" t="s">
        <v>308</v>
      </c>
      <c r="H266" t="s">
        <v>20</v>
      </c>
      <c r="I266" t="s">
        <v>921</v>
      </c>
      <c r="J266" t="s">
        <v>902</v>
      </c>
      <c r="K266" t="s">
        <v>903</v>
      </c>
      <c r="M266" t="s">
        <v>2991</v>
      </c>
      <c r="N266" t="s">
        <v>946</v>
      </c>
      <c r="O266" t="s">
        <v>2927</v>
      </c>
      <c r="P266" t="s">
        <v>27</v>
      </c>
      <c r="Q266" t="s">
        <v>936</v>
      </c>
      <c r="R266" t="s">
        <v>324</v>
      </c>
      <c r="S266">
        <v>168.86250000000001</v>
      </c>
      <c r="T266">
        <v>5</v>
      </c>
      <c r="U266">
        <v>0.25</v>
      </c>
      <c r="V266">
        <v>35.962500000000013</v>
      </c>
      <c r="W266" s="3">
        <v>16.09</v>
      </c>
      <c r="X266" t="s">
        <v>931</v>
      </c>
    </row>
    <row r="267" spans="1:24" x14ac:dyDescent="0.25">
      <c r="A267">
        <v>26610</v>
      </c>
      <c r="B267" t="s">
        <v>2211</v>
      </c>
      <c r="C267" s="1">
        <v>41581</v>
      </c>
      <c r="D267" s="1">
        <v>41585</v>
      </c>
      <c r="E267" t="s">
        <v>19</v>
      </c>
      <c r="F267" t="s">
        <v>1227</v>
      </c>
      <c r="G267" t="s">
        <v>251</v>
      </c>
      <c r="H267" t="s">
        <v>20</v>
      </c>
      <c r="I267" t="s">
        <v>906</v>
      </c>
      <c r="J267" t="s">
        <v>902</v>
      </c>
      <c r="K267" t="s">
        <v>903</v>
      </c>
      <c r="M267" t="s">
        <v>2991</v>
      </c>
      <c r="N267" t="s">
        <v>946</v>
      </c>
      <c r="O267" t="s">
        <v>2765</v>
      </c>
      <c r="P267" t="s">
        <v>27</v>
      </c>
      <c r="Q267" t="s">
        <v>936</v>
      </c>
      <c r="R267" t="s">
        <v>403</v>
      </c>
      <c r="S267">
        <v>168.6825</v>
      </c>
      <c r="T267">
        <v>9</v>
      </c>
      <c r="U267">
        <v>0.25</v>
      </c>
      <c r="V267">
        <v>-2.4975000000000094</v>
      </c>
      <c r="W267" s="3">
        <v>10.58</v>
      </c>
      <c r="X267" t="s">
        <v>933</v>
      </c>
    </row>
    <row r="268" spans="1:24" x14ac:dyDescent="0.25">
      <c r="A268">
        <v>26275</v>
      </c>
      <c r="B268" t="s">
        <v>2190</v>
      </c>
      <c r="C268" s="1">
        <v>42327</v>
      </c>
      <c r="D268" s="1">
        <v>42332</v>
      </c>
      <c r="E268" t="s">
        <v>19</v>
      </c>
      <c r="F268" t="s">
        <v>1145</v>
      </c>
      <c r="G268" t="s">
        <v>467</v>
      </c>
      <c r="H268" t="s">
        <v>20</v>
      </c>
      <c r="I268" t="s">
        <v>906</v>
      </c>
      <c r="J268" t="s">
        <v>902</v>
      </c>
      <c r="K268" t="s">
        <v>903</v>
      </c>
      <c r="M268" t="s">
        <v>2991</v>
      </c>
      <c r="N268" t="s">
        <v>946</v>
      </c>
      <c r="O268" t="s">
        <v>2973</v>
      </c>
      <c r="P268" t="s">
        <v>27</v>
      </c>
      <c r="Q268" t="s">
        <v>936</v>
      </c>
      <c r="R268" t="s">
        <v>845</v>
      </c>
      <c r="S268">
        <v>165.42000000000002</v>
      </c>
      <c r="T268">
        <v>4</v>
      </c>
      <c r="U268">
        <v>0.25</v>
      </c>
      <c r="V268">
        <v>55.14</v>
      </c>
      <c r="W268" s="3">
        <v>21.29</v>
      </c>
      <c r="X268" t="s">
        <v>931</v>
      </c>
    </row>
    <row r="269" spans="1:24" x14ac:dyDescent="0.25">
      <c r="A269">
        <v>24973</v>
      </c>
      <c r="B269" t="s">
        <v>2106</v>
      </c>
      <c r="C269" s="1">
        <v>41561</v>
      </c>
      <c r="D269" s="1">
        <v>41566</v>
      </c>
      <c r="E269" t="s">
        <v>19</v>
      </c>
      <c r="F269" t="s">
        <v>1233</v>
      </c>
      <c r="G269" t="s">
        <v>296</v>
      </c>
      <c r="H269" t="s">
        <v>39</v>
      </c>
      <c r="I269" t="s">
        <v>906</v>
      </c>
      <c r="J269" t="s">
        <v>902</v>
      </c>
      <c r="K269" t="s">
        <v>903</v>
      </c>
      <c r="M269" t="s">
        <v>2991</v>
      </c>
      <c r="N269" t="s">
        <v>946</v>
      </c>
      <c r="O269" t="s">
        <v>2790</v>
      </c>
      <c r="P269" t="s">
        <v>31</v>
      </c>
      <c r="Q269" t="s">
        <v>944</v>
      </c>
      <c r="R269" t="s">
        <v>613</v>
      </c>
      <c r="S269">
        <v>164.49749999999997</v>
      </c>
      <c r="T269">
        <v>3</v>
      </c>
      <c r="U269">
        <v>0.25</v>
      </c>
      <c r="V269">
        <v>24.097500000000004</v>
      </c>
      <c r="W269" s="3">
        <v>14.09</v>
      </c>
      <c r="X269" t="s">
        <v>933</v>
      </c>
    </row>
    <row r="270" spans="1:24" x14ac:dyDescent="0.25">
      <c r="A270">
        <v>30257</v>
      </c>
      <c r="B270" t="s">
        <v>2431</v>
      </c>
      <c r="C270" s="1">
        <v>41775</v>
      </c>
      <c r="D270" s="1">
        <v>41780</v>
      </c>
      <c r="E270" t="s">
        <v>19</v>
      </c>
      <c r="F270" t="s">
        <v>1154</v>
      </c>
      <c r="G270" t="s">
        <v>155</v>
      </c>
      <c r="H270" t="s">
        <v>37</v>
      </c>
      <c r="I270" t="s">
        <v>906</v>
      </c>
      <c r="J270" t="s">
        <v>902</v>
      </c>
      <c r="K270" t="s">
        <v>903</v>
      </c>
      <c r="M270" t="s">
        <v>2991</v>
      </c>
      <c r="N270" t="s">
        <v>946</v>
      </c>
      <c r="O270" t="s">
        <v>2988</v>
      </c>
      <c r="P270" t="s">
        <v>27</v>
      </c>
      <c r="Q270" t="s">
        <v>29</v>
      </c>
      <c r="R270" t="s">
        <v>149</v>
      </c>
      <c r="S270">
        <v>163.839</v>
      </c>
      <c r="T270">
        <v>2</v>
      </c>
      <c r="U270">
        <v>0.35</v>
      </c>
      <c r="V270">
        <v>-75.620999999999981</v>
      </c>
      <c r="W270" s="3">
        <v>7.14</v>
      </c>
      <c r="X270" t="s">
        <v>933</v>
      </c>
    </row>
    <row r="271" spans="1:24" x14ac:dyDescent="0.25">
      <c r="A271">
        <v>29760</v>
      </c>
      <c r="B271" t="s">
        <v>2394</v>
      </c>
      <c r="C271" s="1">
        <v>42162</v>
      </c>
      <c r="D271" s="1">
        <v>42167</v>
      </c>
      <c r="E271" t="s">
        <v>19</v>
      </c>
      <c r="F271" t="s">
        <v>1083</v>
      </c>
      <c r="G271" t="s">
        <v>233</v>
      </c>
      <c r="H271" t="s">
        <v>20</v>
      </c>
      <c r="I271" t="s">
        <v>906</v>
      </c>
      <c r="J271" t="s">
        <v>902</v>
      </c>
      <c r="K271" t="s">
        <v>903</v>
      </c>
      <c r="M271" t="s">
        <v>2991</v>
      </c>
      <c r="N271" t="s">
        <v>946</v>
      </c>
      <c r="O271" t="s">
        <v>2681</v>
      </c>
      <c r="P271" t="s">
        <v>22</v>
      </c>
      <c r="Q271" t="s">
        <v>942</v>
      </c>
      <c r="R271" t="s">
        <v>748</v>
      </c>
      <c r="S271">
        <v>163.32750000000001</v>
      </c>
      <c r="T271">
        <v>7</v>
      </c>
      <c r="U271">
        <v>0.15000000000000002</v>
      </c>
      <c r="V271">
        <v>1.837499999999995</v>
      </c>
      <c r="W271" s="3">
        <v>10.85</v>
      </c>
      <c r="X271" t="s">
        <v>933</v>
      </c>
    </row>
    <row r="272" spans="1:24" x14ac:dyDescent="0.25">
      <c r="A272">
        <v>26807</v>
      </c>
      <c r="B272" t="s">
        <v>2224</v>
      </c>
      <c r="C272" s="1">
        <v>41945</v>
      </c>
      <c r="D272" s="1">
        <v>41948</v>
      </c>
      <c r="E272" t="s">
        <v>47</v>
      </c>
      <c r="F272" t="s">
        <v>996</v>
      </c>
      <c r="G272" t="s">
        <v>545</v>
      </c>
      <c r="H272" t="s">
        <v>20</v>
      </c>
      <c r="I272" t="s">
        <v>906</v>
      </c>
      <c r="J272" t="s">
        <v>902</v>
      </c>
      <c r="K272" t="s">
        <v>903</v>
      </c>
      <c r="M272" t="s">
        <v>2991</v>
      </c>
      <c r="N272" t="s">
        <v>946</v>
      </c>
      <c r="O272" t="s">
        <v>2953</v>
      </c>
      <c r="P272" t="s">
        <v>31</v>
      </c>
      <c r="Q272" t="s">
        <v>945</v>
      </c>
      <c r="R272" t="s">
        <v>805</v>
      </c>
      <c r="S272">
        <v>162.69000000000003</v>
      </c>
      <c r="T272">
        <v>4</v>
      </c>
      <c r="U272">
        <v>0.45</v>
      </c>
      <c r="V272">
        <v>-62.190000000000012</v>
      </c>
      <c r="W272" s="3">
        <v>0.96</v>
      </c>
      <c r="X272" t="s">
        <v>933</v>
      </c>
    </row>
    <row r="273" spans="1:24" x14ac:dyDescent="0.25">
      <c r="A273">
        <v>20777</v>
      </c>
      <c r="B273" t="s">
        <v>1864</v>
      </c>
      <c r="C273" s="1">
        <v>41651</v>
      </c>
      <c r="D273" s="1">
        <v>41656</v>
      </c>
      <c r="E273" t="s">
        <v>19</v>
      </c>
      <c r="F273" t="s">
        <v>1107</v>
      </c>
      <c r="G273" t="s">
        <v>385</v>
      </c>
      <c r="H273" t="s">
        <v>20</v>
      </c>
      <c r="I273" t="s">
        <v>901</v>
      </c>
      <c r="J273" t="s">
        <v>902</v>
      </c>
      <c r="K273" t="s">
        <v>903</v>
      </c>
      <c r="M273" t="s">
        <v>2991</v>
      </c>
      <c r="N273" t="s">
        <v>946</v>
      </c>
      <c r="O273" t="s">
        <v>2596</v>
      </c>
      <c r="P273" t="s">
        <v>27</v>
      </c>
      <c r="Q273" t="s">
        <v>29</v>
      </c>
      <c r="R273" t="s">
        <v>841</v>
      </c>
      <c r="S273">
        <v>161.10900000000001</v>
      </c>
      <c r="T273">
        <v>2</v>
      </c>
      <c r="U273">
        <v>0.35</v>
      </c>
      <c r="V273">
        <v>-27.291000000000004</v>
      </c>
      <c r="W273" s="3">
        <v>19.12</v>
      </c>
      <c r="X273" t="s">
        <v>933</v>
      </c>
    </row>
    <row r="274" spans="1:24" x14ac:dyDescent="0.25">
      <c r="A274">
        <v>27147</v>
      </c>
      <c r="B274" t="s">
        <v>2247</v>
      </c>
      <c r="C274" s="1">
        <v>41603</v>
      </c>
      <c r="D274" s="1">
        <v>41608</v>
      </c>
      <c r="E274" t="s">
        <v>19</v>
      </c>
      <c r="F274" t="s">
        <v>1019</v>
      </c>
      <c r="G274" t="s">
        <v>828</v>
      </c>
      <c r="H274" t="s">
        <v>20</v>
      </c>
      <c r="I274" t="s">
        <v>918</v>
      </c>
      <c r="J274" t="s">
        <v>911</v>
      </c>
      <c r="K274" t="s">
        <v>903</v>
      </c>
      <c r="M274" t="s">
        <v>2991</v>
      </c>
      <c r="N274" t="s">
        <v>946</v>
      </c>
      <c r="O274" t="s">
        <v>2848</v>
      </c>
      <c r="P274" t="s">
        <v>22</v>
      </c>
      <c r="Q274" t="s">
        <v>940</v>
      </c>
      <c r="R274" t="s">
        <v>32</v>
      </c>
      <c r="S274">
        <v>160.64399999999998</v>
      </c>
      <c r="T274">
        <v>8</v>
      </c>
      <c r="U274">
        <v>0.45</v>
      </c>
      <c r="V274">
        <v>-93.515999999999977</v>
      </c>
      <c r="W274" s="3">
        <v>1.18</v>
      </c>
      <c r="X274" t="s">
        <v>933</v>
      </c>
    </row>
    <row r="275" spans="1:24" x14ac:dyDescent="0.25">
      <c r="A275">
        <v>29859</v>
      </c>
      <c r="B275" t="s">
        <v>2404</v>
      </c>
      <c r="C275" s="1">
        <v>42260</v>
      </c>
      <c r="D275" s="1">
        <v>42264</v>
      </c>
      <c r="E275" t="s">
        <v>19</v>
      </c>
      <c r="F275" t="s">
        <v>1065</v>
      </c>
      <c r="G275" t="s">
        <v>302</v>
      </c>
      <c r="H275" t="s">
        <v>39</v>
      </c>
      <c r="I275" t="s">
        <v>922</v>
      </c>
      <c r="J275" t="s">
        <v>923</v>
      </c>
      <c r="K275" t="s">
        <v>903</v>
      </c>
      <c r="M275" t="s">
        <v>2991</v>
      </c>
      <c r="N275" t="s">
        <v>946</v>
      </c>
      <c r="O275" t="s">
        <v>2642</v>
      </c>
      <c r="P275" t="s">
        <v>22</v>
      </c>
      <c r="Q275" t="s">
        <v>937</v>
      </c>
      <c r="R275" t="s">
        <v>608</v>
      </c>
      <c r="S275">
        <v>160.578</v>
      </c>
      <c r="T275">
        <v>6</v>
      </c>
      <c r="U275">
        <v>0.45</v>
      </c>
      <c r="V275">
        <v>-122.742</v>
      </c>
      <c r="W275" s="3">
        <v>26.49</v>
      </c>
      <c r="X275" t="s">
        <v>931</v>
      </c>
    </row>
    <row r="276" spans="1:24" x14ac:dyDescent="0.25">
      <c r="A276">
        <v>21453</v>
      </c>
      <c r="B276" t="s">
        <v>1902</v>
      </c>
      <c r="C276" s="1">
        <v>41951</v>
      </c>
      <c r="D276" s="1">
        <v>41956</v>
      </c>
      <c r="E276" t="s">
        <v>19</v>
      </c>
      <c r="F276" t="s">
        <v>1248</v>
      </c>
      <c r="G276" t="s">
        <v>527</v>
      </c>
      <c r="H276" t="s">
        <v>39</v>
      </c>
      <c r="I276" t="s">
        <v>901</v>
      </c>
      <c r="J276" t="s">
        <v>902</v>
      </c>
      <c r="K276" t="s">
        <v>903</v>
      </c>
      <c r="M276" t="s">
        <v>2991</v>
      </c>
      <c r="N276" t="s">
        <v>946</v>
      </c>
      <c r="O276" t="s">
        <v>2506</v>
      </c>
      <c r="P276" t="s">
        <v>27</v>
      </c>
      <c r="Q276" t="s">
        <v>29</v>
      </c>
      <c r="R276" t="s">
        <v>537</v>
      </c>
      <c r="S276">
        <v>159.35400000000001</v>
      </c>
      <c r="T276">
        <v>2</v>
      </c>
      <c r="U276">
        <v>0.35</v>
      </c>
      <c r="V276">
        <v>-14.766000000000005</v>
      </c>
      <c r="W276" s="3">
        <v>14.09</v>
      </c>
      <c r="X276" t="s">
        <v>933</v>
      </c>
    </row>
    <row r="277" spans="1:24" x14ac:dyDescent="0.25">
      <c r="A277">
        <v>23887</v>
      </c>
      <c r="B277" t="s">
        <v>2053</v>
      </c>
      <c r="C277" s="1">
        <v>42424</v>
      </c>
      <c r="D277" s="1">
        <v>42428</v>
      </c>
      <c r="E277" t="s">
        <v>19</v>
      </c>
      <c r="F277" t="s">
        <v>971</v>
      </c>
      <c r="G277" t="s">
        <v>726</v>
      </c>
      <c r="H277" t="s">
        <v>37</v>
      </c>
      <c r="I277" t="s">
        <v>916</v>
      </c>
      <c r="J277" t="s">
        <v>911</v>
      </c>
      <c r="K277" t="s">
        <v>903</v>
      </c>
      <c r="M277" t="s">
        <v>2991</v>
      </c>
      <c r="N277" t="s">
        <v>946</v>
      </c>
      <c r="O277" t="s">
        <v>2679</v>
      </c>
      <c r="P277" t="s">
        <v>31</v>
      </c>
      <c r="Q277" t="s">
        <v>943</v>
      </c>
      <c r="R277" t="s">
        <v>153</v>
      </c>
      <c r="S277">
        <v>157.87200000000001</v>
      </c>
      <c r="T277">
        <v>2</v>
      </c>
      <c r="U277">
        <v>0.35</v>
      </c>
      <c r="V277">
        <v>7.2719999999999914</v>
      </c>
      <c r="W277" s="3">
        <v>20.05</v>
      </c>
      <c r="X277" t="s">
        <v>931</v>
      </c>
    </row>
    <row r="278" spans="1:24" x14ac:dyDescent="0.25">
      <c r="A278">
        <v>29580</v>
      </c>
      <c r="B278" t="s">
        <v>2382</v>
      </c>
      <c r="C278" s="1">
        <v>41283</v>
      </c>
      <c r="D278" s="1">
        <v>41287</v>
      </c>
      <c r="E278" t="s">
        <v>19</v>
      </c>
      <c r="F278" t="s">
        <v>1097</v>
      </c>
      <c r="G278" t="s">
        <v>49</v>
      </c>
      <c r="H278" t="s">
        <v>37</v>
      </c>
      <c r="I278" t="s">
        <v>82</v>
      </c>
      <c r="J278" t="s">
        <v>911</v>
      </c>
      <c r="K278" t="s">
        <v>903</v>
      </c>
      <c r="M278" t="s">
        <v>2991</v>
      </c>
      <c r="N278" t="s">
        <v>946</v>
      </c>
      <c r="O278" t="s">
        <v>2689</v>
      </c>
      <c r="P278" t="s">
        <v>22</v>
      </c>
      <c r="Q278" t="s">
        <v>935</v>
      </c>
      <c r="R278" t="s">
        <v>262</v>
      </c>
      <c r="S278">
        <v>157.82250000000002</v>
      </c>
      <c r="T278">
        <v>5</v>
      </c>
      <c r="U278">
        <v>0.45</v>
      </c>
      <c r="V278">
        <v>-2.977499999999992</v>
      </c>
      <c r="W278" s="3">
        <v>10.08</v>
      </c>
      <c r="X278" t="s">
        <v>931</v>
      </c>
    </row>
    <row r="279" spans="1:24" x14ac:dyDescent="0.25">
      <c r="A279">
        <v>29276</v>
      </c>
      <c r="B279" t="s">
        <v>2370</v>
      </c>
      <c r="C279" s="1">
        <v>42621</v>
      </c>
      <c r="D279" s="1">
        <v>42624</v>
      </c>
      <c r="E279" t="s">
        <v>47</v>
      </c>
      <c r="F279" t="s">
        <v>963</v>
      </c>
      <c r="G279" t="s">
        <v>163</v>
      </c>
      <c r="H279" t="s">
        <v>20</v>
      </c>
      <c r="I279" t="s">
        <v>906</v>
      </c>
      <c r="J279" t="s">
        <v>902</v>
      </c>
      <c r="K279" t="s">
        <v>903</v>
      </c>
      <c r="M279" t="s">
        <v>2991</v>
      </c>
      <c r="N279" t="s">
        <v>946</v>
      </c>
      <c r="O279" t="s">
        <v>2905</v>
      </c>
      <c r="P279" t="s">
        <v>31</v>
      </c>
      <c r="Q279" t="s">
        <v>945</v>
      </c>
      <c r="R279" t="s">
        <v>250</v>
      </c>
      <c r="S279">
        <v>157.41000000000003</v>
      </c>
      <c r="T279">
        <v>4</v>
      </c>
      <c r="U279">
        <v>0.45</v>
      </c>
      <c r="V279">
        <v>-108.87000000000002</v>
      </c>
      <c r="W279" s="3">
        <v>25.36</v>
      </c>
      <c r="X279" t="s">
        <v>933</v>
      </c>
    </row>
    <row r="280" spans="1:24" x14ac:dyDescent="0.25">
      <c r="A280">
        <v>22546</v>
      </c>
      <c r="B280" t="s">
        <v>1967</v>
      </c>
      <c r="C280" s="1">
        <v>41971</v>
      </c>
      <c r="D280" s="1">
        <v>41976</v>
      </c>
      <c r="E280" t="s">
        <v>19</v>
      </c>
      <c r="F280" t="s">
        <v>1307</v>
      </c>
      <c r="G280" t="s">
        <v>364</v>
      </c>
      <c r="H280" t="s">
        <v>20</v>
      </c>
      <c r="I280" t="s">
        <v>906</v>
      </c>
      <c r="J280" t="s">
        <v>902</v>
      </c>
      <c r="K280" t="s">
        <v>903</v>
      </c>
      <c r="M280" t="s">
        <v>2991</v>
      </c>
      <c r="N280" t="s">
        <v>946</v>
      </c>
      <c r="O280" t="s">
        <v>2846</v>
      </c>
      <c r="P280" t="s">
        <v>22</v>
      </c>
      <c r="Q280" t="s">
        <v>935</v>
      </c>
      <c r="R280" t="s">
        <v>635</v>
      </c>
      <c r="S280">
        <v>156.91499999999999</v>
      </c>
      <c r="T280">
        <v>6</v>
      </c>
      <c r="U280">
        <v>0.45</v>
      </c>
      <c r="V280">
        <v>-77.08499999999998</v>
      </c>
      <c r="W280" s="3">
        <v>2.0299999999999998</v>
      </c>
      <c r="X280" t="s">
        <v>933</v>
      </c>
    </row>
    <row r="281" spans="1:24" x14ac:dyDescent="0.25">
      <c r="A281">
        <v>23933</v>
      </c>
      <c r="B281" t="s">
        <v>2057</v>
      </c>
      <c r="C281" s="1">
        <v>42561</v>
      </c>
      <c r="D281" s="1">
        <v>42566</v>
      </c>
      <c r="E281" t="s">
        <v>19</v>
      </c>
      <c r="F281" t="s">
        <v>970</v>
      </c>
      <c r="G281" t="s">
        <v>120</v>
      </c>
      <c r="H281" t="s">
        <v>39</v>
      </c>
      <c r="I281" t="s">
        <v>922</v>
      </c>
      <c r="J281" t="s">
        <v>923</v>
      </c>
      <c r="K281" t="s">
        <v>903</v>
      </c>
      <c r="M281" t="s">
        <v>2991</v>
      </c>
      <c r="N281" t="s">
        <v>946</v>
      </c>
      <c r="O281" t="s">
        <v>2549</v>
      </c>
      <c r="P281" t="s">
        <v>31</v>
      </c>
      <c r="Q281" t="s">
        <v>945</v>
      </c>
      <c r="R281" t="s">
        <v>471</v>
      </c>
      <c r="S281">
        <v>155.1165</v>
      </c>
      <c r="T281">
        <v>7</v>
      </c>
      <c r="U281">
        <v>0.45</v>
      </c>
      <c r="V281">
        <v>-3.0134999999999934</v>
      </c>
      <c r="W281" s="3">
        <v>8.9600000000000009</v>
      </c>
      <c r="X281" t="s">
        <v>933</v>
      </c>
    </row>
    <row r="282" spans="1:24" x14ac:dyDescent="0.25">
      <c r="A282">
        <v>29438</v>
      </c>
      <c r="B282" t="s">
        <v>2377</v>
      </c>
      <c r="C282" s="1">
        <v>42518</v>
      </c>
      <c r="D282" s="1">
        <v>42525</v>
      </c>
      <c r="E282" t="s">
        <v>19</v>
      </c>
      <c r="F282" t="s">
        <v>958</v>
      </c>
      <c r="G282" t="s">
        <v>330</v>
      </c>
      <c r="H282" t="s">
        <v>37</v>
      </c>
      <c r="I282" t="s">
        <v>901</v>
      </c>
      <c r="J282" t="s">
        <v>902</v>
      </c>
      <c r="K282" t="s">
        <v>903</v>
      </c>
      <c r="M282" t="s">
        <v>2991</v>
      </c>
      <c r="N282" t="s">
        <v>946</v>
      </c>
      <c r="O282" t="s">
        <v>2541</v>
      </c>
      <c r="P282" t="s">
        <v>22</v>
      </c>
      <c r="Q282" t="s">
        <v>940</v>
      </c>
      <c r="R282" t="s">
        <v>317</v>
      </c>
      <c r="S282">
        <v>152.46</v>
      </c>
      <c r="T282">
        <v>8</v>
      </c>
      <c r="U282">
        <v>0.45</v>
      </c>
      <c r="V282">
        <v>-58.259999999999991</v>
      </c>
      <c r="W282" s="3">
        <v>7.26</v>
      </c>
      <c r="X282" t="s">
        <v>933</v>
      </c>
    </row>
    <row r="283" spans="1:24" x14ac:dyDescent="0.25">
      <c r="A283">
        <v>29278</v>
      </c>
      <c r="B283" t="s">
        <v>2370</v>
      </c>
      <c r="C283" s="1">
        <v>42621</v>
      </c>
      <c r="D283" s="1">
        <v>42624</v>
      </c>
      <c r="E283" t="s">
        <v>47</v>
      </c>
      <c r="F283" t="s">
        <v>963</v>
      </c>
      <c r="G283" t="s">
        <v>163</v>
      </c>
      <c r="H283" t="s">
        <v>20</v>
      </c>
      <c r="I283" t="s">
        <v>906</v>
      </c>
      <c r="J283" t="s">
        <v>902</v>
      </c>
      <c r="K283" t="s">
        <v>903</v>
      </c>
      <c r="M283" t="s">
        <v>2991</v>
      </c>
      <c r="N283" t="s">
        <v>946</v>
      </c>
      <c r="O283" t="s">
        <v>2658</v>
      </c>
      <c r="P283" t="s">
        <v>22</v>
      </c>
      <c r="Q283" t="s">
        <v>942</v>
      </c>
      <c r="R283" t="s">
        <v>855</v>
      </c>
      <c r="S283">
        <v>151.16399999999999</v>
      </c>
      <c r="T283">
        <v>12</v>
      </c>
      <c r="U283">
        <v>0.15000000000000002</v>
      </c>
      <c r="V283">
        <v>15.804000000000002</v>
      </c>
      <c r="W283" s="3">
        <v>29.01</v>
      </c>
      <c r="X283" t="s">
        <v>933</v>
      </c>
    </row>
    <row r="284" spans="1:24" x14ac:dyDescent="0.25">
      <c r="A284">
        <v>24207</v>
      </c>
      <c r="B284" t="s">
        <v>2065</v>
      </c>
      <c r="C284" s="1">
        <v>42521</v>
      </c>
      <c r="D284" s="1">
        <v>42526</v>
      </c>
      <c r="E284" t="s">
        <v>19</v>
      </c>
      <c r="F284" t="s">
        <v>1287</v>
      </c>
      <c r="G284" t="s">
        <v>397</v>
      </c>
      <c r="H284" t="s">
        <v>20</v>
      </c>
      <c r="I284" t="s">
        <v>906</v>
      </c>
      <c r="J284" t="s">
        <v>902</v>
      </c>
      <c r="K284" t="s">
        <v>903</v>
      </c>
      <c r="M284" t="s">
        <v>2991</v>
      </c>
      <c r="N284" t="s">
        <v>946</v>
      </c>
      <c r="O284" t="s">
        <v>2809</v>
      </c>
      <c r="P284" t="s">
        <v>22</v>
      </c>
      <c r="Q284" t="s">
        <v>937</v>
      </c>
      <c r="R284" t="s">
        <v>819</v>
      </c>
      <c r="S284">
        <v>150.084</v>
      </c>
      <c r="T284">
        <v>6</v>
      </c>
      <c r="U284">
        <v>0.45</v>
      </c>
      <c r="V284">
        <v>-62.856000000000009</v>
      </c>
      <c r="W284" s="3">
        <v>12.73</v>
      </c>
      <c r="X284" t="s">
        <v>933</v>
      </c>
    </row>
    <row r="285" spans="1:24" x14ac:dyDescent="0.25">
      <c r="A285">
        <v>21728</v>
      </c>
      <c r="B285" t="s">
        <v>1914</v>
      </c>
      <c r="C285" s="1">
        <v>42309</v>
      </c>
      <c r="D285" s="1">
        <v>42315</v>
      </c>
      <c r="E285" t="s">
        <v>19</v>
      </c>
      <c r="F285" t="s">
        <v>1100</v>
      </c>
      <c r="G285" t="s">
        <v>799</v>
      </c>
      <c r="H285" t="s">
        <v>39</v>
      </c>
      <c r="I285" t="s">
        <v>906</v>
      </c>
      <c r="J285" t="s">
        <v>902</v>
      </c>
      <c r="K285" t="s">
        <v>903</v>
      </c>
      <c r="M285" t="s">
        <v>2991</v>
      </c>
      <c r="N285" t="s">
        <v>946</v>
      </c>
      <c r="O285" t="s">
        <v>2585</v>
      </c>
      <c r="P285" t="s">
        <v>22</v>
      </c>
      <c r="Q285" t="s">
        <v>937</v>
      </c>
      <c r="R285" t="s">
        <v>568</v>
      </c>
      <c r="S285">
        <v>149.98500000000001</v>
      </c>
      <c r="T285">
        <v>5</v>
      </c>
      <c r="U285">
        <v>0.45</v>
      </c>
      <c r="V285">
        <v>8.085000000000008</v>
      </c>
      <c r="W285" s="3">
        <v>11.94</v>
      </c>
      <c r="X285" t="s">
        <v>934</v>
      </c>
    </row>
    <row r="286" spans="1:24" x14ac:dyDescent="0.25">
      <c r="A286">
        <v>27224</v>
      </c>
      <c r="B286" t="s">
        <v>2255</v>
      </c>
      <c r="C286" s="1">
        <v>42618</v>
      </c>
      <c r="D286" s="1">
        <v>42623</v>
      </c>
      <c r="E286" t="s">
        <v>19</v>
      </c>
      <c r="F286" t="s">
        <v>1508</v>
      </c>
      <c r="G286" t="s">
        <v>630</v>
      </c>
      <c r="H286" t="s">
        <v>20</v>
      </c>
      <c r="I286" t="s">
        <v>906</v>
      </c>
      <c r="J286" t="s">
        <v>902</v>
      </c>
      <c r="K286" t="s">
        <v>903</v>
      </c>
      <c r="M286" t="s">
        <v>2991</v>
      </c>
      <c r="N286" t="s">
        <v>946</v>
      </c>
      <c r="O286" t="s">
        <v>2592</v>
      </c>
      <c r="P286" t="s">
        <v>31</v>
      </c>
      <c r="Q286" t="s">
        <v>944</v>
      </c>
      <c r="R286" t="s">
        <v>228</v>
      </c>
      <c r="S286">
        <v>149.44499999999999</v>
      </c>
      <c r="T286">
        <v>3</v>
      </c>
      <c r="U286">
        <v>0.25</v>
      </c>
      <c r="V286">
        <v>-41.894999999999996</v>
      </c>
      <c r="W286" s="3">
        <v>8.2100000000000009</v>
      </c>
      <c r="X286" t="s">
        <v>933</v>
      </c>
    </row>
    <row r="287" spans="1:24" x14ac:dyDescent="0.25">
      <c r="A287">
        <v>27734</v>
      </c>
      <c r="B287" t="s">
        <v>2288</v>
      </c>
      <c r="C287" s="1">
        <v>41943</v>
      </c>
      <c r="D287" s="1">
        <v>41948</v>
      </c>
      <c r="E287" t="s">
        <v>19</v>
      </c>
      <c r="F287" t="s">
        <v>957</v>
      </c>
      <c r="G287" t="s">
        <v>648</v>
      </c>
      <c r="H287" t="s">
        <v>20</v>
      </c>
      <c r="I287" t="s">
        <v>906</v>
      </c>
      <c r="J287" t="s">
        <v>902</v>
      </c>
      <c r="K287" t="s">
        <v>903</v>
      </c>
      <c r="M287" t="s">
        <v>2991</v>
      </c>
      <c r="N287" t="s">
        <v>946</v>
      </c>
      <c r="O287" t="s">
        <v>2501</v>
      </c>
      <c r="P287" t="s">
        <v>31</v>
      </c>
      <c r="Q287" t="s">
        <v>944</v>
      </c>
      <c r="R287" t="s">
        <v>440</v>
      </c>
      <c r="S287">
        <v>146.88</v>
      </c>
      <c r="T287">
        <v>3</v>
      </c>
      <c r="U287">
        <v>0.25</v>
      </c>
      <c r="V287">
        <v>27.360000000000007</v>
      </c>
      <c r="W287" s="3">
        <v>12.12</v>
      </c>
      <c r="X287" t="s">
        <v>933</v>
      </c>
    </row>
    <row r="288" spans="1:24" x14ac:dyDescent="0.25">
      <c r="A288">
        <v>25235</v>
      </c>
      <c r="B288" t="s">
        <v>2122</v>
      </c>
      <c r="C288" s="1">
        <v>42667</v>
      </c>
      <c r="D288" s="1">
        <v>42669</v>
      </c>
      <c r="E288" t="s">
        <v>43</v>
      </c>
      <c r="F288" t="s">
        <v>1147</v>
      </c>
      <c r="G288" t="s">
        <v>513</v>
      </c>
      <c r="H288" t="s">
        <v>39</v>
      </c>
      <c r="I288" t="s">
        <v>906</v>
      </c>
      <c r="J288" t="s">
        <v>902</v>
      </c>
      <c r="K288" t="s">
        <v>903</v>
      </c>
      <c r="M288" t="s">
        <v>2991</v>
      </c>
      <c r="N288" t="s">
        <v>946</v>
      </c>
      <c r="O288" t="s">
        <v>2768</v>
      </c>
      <c r="P288" t="s">
        <v>31</v>
      </c>
      <c r="Q288" t="s">
        <v>944</v>
      </c>
      <c r="R288" t="s">
        <v>503</v>
      </c>
      <c r="S288">
        <v>146.54249999999999</v>
      </c>
      <c r="T288">
        <v>3</v>
      </c>
      <c r="U288">
        <v>0.25</v>
      </c>
      <c r="V288">
        <v>-1.957499999999996</v>
      </c>
      <c r="W288" s="3">
        <v>19.71</v>
      </c>
      <c r="X288" t="s">
        <v>933</v>
      </c>
    </row>
    <row r="289" spans="1:24" x14ac:dyDescent="0.25">
      <c r="A289">
        <v>21444</v>
      </c>
      <c r="B289" t="s">
        <v>1901</v>
      </c>
      <c r="C289" s="1">
        <v>42568</v>
      </c>
      <c r="D289" s="1">
        <v>42570</v>
      </c>
      <c r="E289" t="s">
        <v>43</v>
      </c>
      <c r="F289" t="s">
        <v>982</v>
      </c>
      <c r="G289" t="s">
        <v>520</v>
      </c>
      <c r="H289" t="s">
        <v>39</v>
      </c>
      <c r="I289" t="s">
        <v>924</v>
      </c>
      <c r="J289" t="s">
        <v>911</v>
      </c>
      <c r="K289" t="s">
        <v>903</v>
      </c>
      <c r="M289" t="s">
        <v>2991</v>
      </c>
      <c r="N289" t="s">
        <v>946</v>
      </c>
      <c r="O289" t="s">
        <v>2721</v>
      </c>
      <c r="P289" t="s">
        <v>22</v>
      </c>
      <c r="Q289" t="s">
        <v>50</v>
      </c>
      <c r="R289" t="s">
        <v>679</v>
      </c>
      <c r="S289">
        <v>141.88200000000001</v>
      </c>
      <c r="T289">
        <v>2</v>
      </c>
      <c r="U289">
        <v>0.15000000000000002</v>
      </c>
      <c r="V289">
        <v>3.2819999999999929</v>
      </c>
      <c r="W289" s="3">
        <v>17.64</v>
      </c>
      <c r="X289" t="s">
        <v>932</v>
      </c>
    </row>
    <row r="290" spans="1:24" x14ac:dyDescent="0.25">
      <c r="A290">
        <v>28232</v>
      </c>
      <c r="B290" t="s">
        <v>2315</v>
      </c>
      <c r="C290" s="1">
        <v>42643</v>
      </c>
      <c r="D290" s="1">
        <v>42647</v>
      </c>
      <c r="E290" t="s">
        <v>43</v>
      </c>
      <c r="F290" t="s">
        <v>1326</v>
      </c>
      <c r="G290" t="s">
        <v>168</v>
      </c>
      <c r="H290" t="s">
        <v>37</v>
      </c>
      <c r="I290" t="s">
        <v>906</v>
      </c>
      <c r="J290" t="s">
        <v>902</v>
      </c>
      <c r="K290" t="s">
        <v>903</v>
      </c>
      <c r="M290" t="s">
        <v>2991</v>
      </c>
      <c r="N290" t="s">
        <v>946</v>
      </c>
      <c r="O290" t="s">
        <v>2658</v>
      </c>
      <c r="P290" t="s">
        <v>22</v>
      </c>
      <c r="Q290" t="s">
        <v>942</v>
      </c>
      <c r="R290" t="s">
        <v>855</v>
      </c>
      <c r="S290">
        <v>138.56699999999998</v>
      </c>
      <c r="T290">
        <v>11</v>
      </c>
      <c r="U290">
        <v>0.15000000000000002</v>
      </c>
      <c r="V290">
        <v>14.486999999999995</v>
      </c>
      <c r="W290" s="3">
        <v>20.91</v>
      </c>
      <c r="X290" t="s">
        <v>931</v>
      </c>
    </row>
    <row r="291" spans="1:24" x14ac:dyDescent="0.25">
      <c r="A291">
        <v>29439</v>
      </c>
      <c r="B291" t="s">
        <v>2378</v>
      </c>
      <c r="C291" s="1">
        <v>42088</v>
      </c>
      <c r="D291" s="1">
        <v>42088</v>
      </c>
      <c r="E291" t="s">
        <v>58</v>
      </c>
      <c r="F291" t="s">
        <v>1051</v>
      </c>
      <c r="G291" t="s">
        <v>706</v>
      </c>
      <c r="H291" t="s">
        <v>20</v>
      </c>
      <c r="I291" t="s">
        <v>924</v>
      </c>
      <c r="J291" t="s">
        <v>911</v>
      </c>
      <c r="K291" t="s">
        <v>903</v>
      </c>
      <c r="M291" t="s">
        <v>2991</v>
      </c>
      <c r="N291" t="s">
        <v>946</v>
      </c>
      <c r="O291" t="s">
        <v>2770</v>
      </c>
      <c r="P291" t="s">
        <v>31</v>
      </c>
      <c r="Q291" t="s">
        <v>945</v>
      </c>
      <c r="R291" t="s">
        <v>462</v>
      </c>
      <c r="S291">
        <v>138.40199999999999</v>
      </c>
      <c r="T291">
        <v>3</v>
      </c>
      <c r="U291">
        <v>0.45</v>
      </c>
      <c r="V291">
        <v>-100.72799999999999</v>
      </c>
      <c r="W291" s="3">
        <v>1.51</v>
      </c>
      <c r="X291" t="s">
        <v>933</v>
      </c>
    </row>
    <row r="292" spans="1:24" x14ac:dyDescent="0.25">
      <c r="A292">
        <v>27855</v>
      </c>
      <c r="B292" t="s">
        <v>2294</v>
      </c>
      <c r="C292" s="1">
        <v>42013</v>
      </c>
      <c r="D292" s="1">
        <v>42016</v>
      </c>
      <c r="E292" t="s">
        <v>47</v>
      </c>
      <c r="F292" t="s">
        <v>1020</v>
      </c>
      <c r="G292" t="s">
        <v>763</v>
      </c>
      <c r="H292" t="s">
        <v>20</v>
      </c>
      <c r="I292" t="s">
        <v>912</v>
      </c>
      <c r="J292" t="s">
        <v>913</v>
      </c>
      <c r="K292" t="s">
        <v>903</v>
      </c>
      <c r="M292" t="s">
        <v>2991</v>
      </c>
      <c r="N292" t="s">
        <v>946</v>
      </c>
      <c r="O292" t="s">
        <v>2724</v>
      </c>
      <c r="P292" t="s">
        <v>27</v>
      </c>
      <c r="Q292" t="s">
        <v>939</v>
      </c>
      <c r="R292" t="s">
        <v>348</v>
      </c>
      <c r="S292">
        <v>137.88</v>
      </c>
      <c r="T292">
        <v>4</v>
      </c>
      <c r="U292">
        <v>0.25</v>
      </c>
      <c r="V292">
        <v>-31.32</v>
      </c>
      <c r="W292" s="3">
        <v>15.07</v>
      </c>
      <c r="X292" t="s">
        <v>933</v>
      </c>
    </row>
    <row r="293" spans="1:24" x14ac:dyDescent="0.25">
      <c r="A293">
        <v>23025</v>
      </c>
      <c r="B293" t="s">
        <v>1997</v>
      </c>
      <c r="C293" s="1">
        <v>41439</v>
      </c>
      <c r="D293" s="1">
        <v>41444</v>
      </c>
      <c r="E293" t="s">
        <v>19</v>
      </c>
      <c r="F293" t="s">
        <v>1328</v>
      </c>
      <c r="G293" t="s">
        <v>590</v>
      </c>
      <c r="H293" t="s">
        <v>20</v>
      </c>
      <c r="I293" t="s">
        <v>906</v>
      </c>
      <c r="J293" t="s">
        <v>902</v>
      </c>
      <c r="K293" t="s">
        <v>903</v>
      </c>
      <c r="M293" t="s">
        <v>2991</v>
      </c>
      <c r="N293" t="s">
        <v>946</v>
      </c>
      <c r="O293" t="s">
        <v>2823</v>
      </c>
      <c r="P293" t="s">
        <v>27</v>
      </c>
      <c r="Q293" t="s">
        <v>939</v>
      </c>
      <c r="R293" t="s">
        <v>91</v>
      </c>
      <c r="S293">
        <v>137.565</v>
      </c>
      <c r="T293">
        <v>2</v>
      </c>
      <c r="U293">
        <v>0.25</v>
      </c>
      <c r="V293">
        <v>-34.875</v>
      </c>
      <c r="W293" s="3">
        <v>8.36</v>
      </c>
      <c r="X293" t="s">
        <v>933</v>
      </c>
    </row>
    <row r="294" spans="1:24" x14ac:dyDescent="0.25">
      <c r="A294">
        <v>22700</v>
      </c>
      <c r="B294" t="s">
        <v>1979</v>
      </c>
      <c r="C294" s="1">
        <v>41320</v>
      </c>
      <c r="D294" s="1">
        <v>41326</v>
      </c>
      <c r="E294" t="s">
        <v>19</v>
      </c>
      <c r="F294" t="s">
        <v>1039</v>
      </c>
      <c r="G294" t="s">
        <v>626</v>
      </c>
      <c r="H294" t="s">
        <v>20</v>
      </c>
      <c r="I294" t="s">
        <v>906</v>
      </c>
      <c r="J294" t="s">
        <v>902</v>
      </c>
      <c r="K294" t="s">
        <v>903</v>
      </c>
      <c r="M294" t="s">
        <v>2991</v>
      </c>
      <c r="N294" t="s">
        <v>946</v>
      </c>
      <c r="O294" t="s">
        <v>2705</v>
      </c>
      <c r="P294" t="s">
        <v>31</v>
      </c>
      <c r="Q294" t="s">
        <v>944</v>
      </c>
      <c r="R294" t="s">
        <v>407</v>
      </c>
      <c r="S294">
        <v>136.935</v>
      </c>
      <c r="T294">
        <v>2</v>
      </c>
      <c r="U294">
        <v>0.25</v>
      </c>
      <c r="V294">
        <v>-1.8449999999999989</v>
      </c>
      <c r="W294" s="3">
        <v>16.420000000000002</v>
      </c>
      <c r="X294" t="s">
        <v>934</v>
      </c>
    </row>
    <row r="295" spans="1:24" x14ac:dyDescent="0.25">
      <c r="A295">
        <v>27196</v>
      </c>
      <c r="B295" t="s">
        <v>2251</v>
      </c>
      <c r="C295" s="1">
        <v>41859</v>
      </c>
      <c r="D295" s="1">
        <v>41859</v>
      </c>
      <c r="E295" t="s">
        <v>58</v>
      </c>
      <c r="F295" t="s">
        <v>1059</v>
      </c>
      <c r="G295" t="s">
        <v>61</v>
      </c>
      <c r="H295" t="s">
        <v>20</v>
      </c>
      <c r="I295" t="s">
        <v>906</v>
      </c>
      <c r="J295" t="s">
        <v>902</v>
      </c>
      <c r="K295" t="s">
        <v>903</v>
      </c>
      <c r="M295" t="s">
        <v>2991</v>
      </c>
      <c r="N295" t="s">
        <v>946</v>
      </c>
      <c r="O295" t="s">
        <v>2927</v>
      </c>
      <c r="P295" t="s">
        <v>27</v>
      </c>
      <c r="Q295" t="s">
        <v>936</v>
      </c>
      <c r="R295" t="s">
        <v>324</v>
      </c>
      <c r="S295">
        <v>135.09</v>
      </c>
      <c r="T295">
        <v>4</v>
      </c>
      <c r="U295">
        <v>0.25</v>
      </c>
      <c r="V295">
        <v>28.77000000000001</v>
      </c>
      <c r="W295" s="3">
        <v>45.17</v>
      </c>
      <c r="X295" t="s">
        <v>932</v>
      </c>
    </row>
    <row r="296" spans="1:24" x14ac:dyDescent="0.25">
      <c r="A296">
        <v>28842</v>
      </c>
      <c r="B296" t="s">
        <v>2345</v>
      </c>
      <c r="C296" s="1">
        <v>42705</v>
      </c>
      <c r="D296" s="1">
        <v>42709</v>
      </c>
      <c r="E296" t="s">
        <v>19</v>
      </c>
      <c r="F296" t="s">
        <v>1293</v>
      </c>
      <c r="G296" t="s">
        <v>166</v>
      </c>
      <c r="H296" t="s">
        <v>37</v>
      </c>
      <c r="I296" t="s">
        <v>906</v>
      </c>
      <c r="J296" t="s">
        <v>902</v>
      </c>
      <c r="K296" t="s">
        <v>903</v>
      </c>
      <c r="M296" t="s">
        <v>2991</v>
      </c>
      <c r="N296" t="s">
        <v>946</v>
      </c>
      <c r="O296" t="s">
        <v>2616</v>
      </c>
      <c r="P296" t="s">
        <v>27</v>
      </c>
      <c r="Q296" t="s">
        <v>939</v>
      </c>
      <c r="R296" t="s">
        <v>145</v>
      </c>
      <c r="S296">
        <v>135.09</v>
      </c>
      <c r="T296">
        <v>1</v>
      </c>
      <c r="U296">
        <v>0.25</v>
      </c>
      <c r="V296">
        <v>-39.630000000000003</v>
      </c>
      <c r="W296" s="3">
        <v>7.3</v>
      </c>
      <c r="X296" t="s">
        <v>933</v>
      </c>
    </row>
    <row r="297" spans="1:24" x14ac:dyDescent="0.25">
      <c r="A297">
        <v>27975</v>
      </c>
      <c r="B297" t="s">
        <v>2300</v>
      </c>
      <c r="C297" s="1">
        <v>42148</v>
      </c>
      <c r="D297" s="1">
        <v>42150</v>
      </c>
      <c r="E297" t="s">
        <v>43</v>
      </c>
      <c r="F297" t="s">
        <v>1239</v>
      </c>
      <c r="G297" t="s">
        <v>78</v>
      </c>
      <c r="H297" t="s">
        <v>20</v>
      </c>
      <c r="I297" t="s">
        <v>907</v>
      </c>
      <c r="J297" t="s">
        <v>902</v>
      </c>
      <c r="K297" t="s">
        <v>903</v>
      </c>
      <c r="M297" t="s">
        <v>2991</v>
      </c>
      <c r="N297" t="s">
        <v>946</v>
      </c>
      <c r="O297" t="s">
        <v>2782</v>
      </c>
      <c r="P297" t="s">
        <v>27</v>
      </c>
      <c r="Q297" t="s">
        <v>939</v>
      </c>
      <c r="R297" t="s">
        <v>366</v>
      </c>
      <c r="S297">
        <v>134.59500000000003</v>
      </c>
      <c r="T297">
        <v>3</v>
      </c>
      <c r="U297">
        <v>0.25</v>
      </c>
      <c r="V297">
        <v>25.064999999999984</v>
      </c>
      <c r="W297" s="3">
        <v>15.43</v>
      </c>
      <c r="X297" t="s">
        <v>931</v>
      </c>
    </row>
    <row r="298" spans="1:24" x14ac:dyDescent="0.25">
      <c r="A298">
        <v>27605</v>
      </c>
      <c r="B298" t="s">
        <v>2285</v>
      </c>
      <c r="C298" s="1">
        <v>42266</v>
      </c>
      <c r="D298" s="1">
        <v>42268</v>
      </c>
      <c r="E298" t="s">
        <v>47</v>
      </c>
      <c r="F298" t="s">
        <v>1102</v>
      </c>
      <c r="G298" t="s">
        <v>97</v>
      </c>
      <c r="H298" t="s">
        <v>20</v>
      </c>
      <c r="I298" t="s">
        <v>920</v>
      </c>
      <c r="J298" t="s">
        <v>911</v>
      </c>
      <c r="K298" t="s">
        <v>903</v>
      </c>
      <c r="M298" t="s">
        <v>2991</v>
      </c>
      <c r="N298" t="s">
        <v>946</v>
      </c>
      <c r="O298" t="s">
        <v>2637</v>
      </c>
      <c r="P298" t="s">
        <v>31</v>
      </c>
      <c r="Q298" t="s">
        <v>945</v>
      </c>
      <c r="R298" t="s">
        <v>711</v>
      </c>
      <c r="S298">
        <v>134.09550000000002</v>
      </c>
      <c r="T298">
        <v>3</v>
      </c>
      <c r="U298">
        <v>0.45</v>
      </c>
      <c r="V298">
        <v>-82.984499999999997</v>
      </c>
      <c r="W298" s="3">
        <v>15.01</v>
      </c>
      <c r="X298" t="s">
        <v>931</v>
      </c>
    </row>
    <row r="299" spans="1:24" x14ac:dyDescent="0.25">
      <c r="A299">
        <v>29830</v>
      </c>
      <c r="B299" t="s">
        <v>2399</v>
      </c>
      <c r="C299" s="1">
        <v>41616</v>
      </c>
      <c r="D299" s="1">
        <v>41620</v>
      </c>
      <c r="E299" t="s">
        <v>19</v>
      </c>
      <c r="F299" t="s">
        <v>1089</v>
      </c>
      <c r="G299" t="s">
        <v>663</v>
      </c>
      <c r="H299" t="s">
        <v>37</v>
      </c>
      <c r="I299" t="s">
        <v>906</v>
      </c>
      <c r="J299" t="s">
        <v>902</v>
      </c>
      <c r="K299" t="s">
        <v>903</v>
      </c>
      <c r="M299" t="s">
        <v>2991</v>
      </c>
      <c r="N299" t="s">
        <v>946</v>
      </c>
      <c r="O299" t="s">
        <v>2715</v>
      </c>
      <c r="P299" t="s">
        <v>22</v>
      </c>
      <c r="Q299" t="s">
        <v>69</v>
      </c>
      <c r="R299" t="s">
        <v>655</v>
      </c>
      <c r="S299">
        <v>132.9075</v>
      </c>
      <c r="T299">
        <v>5</v>
      </c>
      <c r="U299">
        <v>0.45</v>
      </c>
      <c r="V299">
        <v>-87.142500000000013</v>
      </c>
      <c r="W299" s="3">
        <v>9.52</v>
      </c>
      <c r="X299" t="s">
        <v>933</v>
      </c>
    </row>
    <row r="300" spans="1:24" x14ac:dyDescent="0.25">
      <c r="A300">
        <v>26411</v>
      </c>
      <c r="B300" t="s">
        <v>2199</v>
      </c>
      <c r="C300" s="1">
        <v>42019</v>
      </c>
      <c r="D300" s="1">
        <v>42025</v>
      </c>
      <c r="E300" t="s">
        <v>19</v>
      </c>
      <c r="F300" t="s">
        <v>1260</v>
      </c>
      <c r="G300" t="s">
        <v>421</v>
      </c>
      <c r="H300" t="s">
        <v>37</v>
      </c>
      <c r="I300" t="s">
        <v>906</v>
      </c>
      <c r="J300" t="s">
        <v>902</v>
      </c>
      <c r="K300" t="s">
        <v>903</v>
      </c>
      <c r="M300" t="s">
        <v>2991</v>
      </c>
      <c r="N300" t="s">
        <v>946</v>
      </c>
      <c r="O300" t="s">
        <v>1530</v>
      </c>
      <c r="P300" t="s">
        <v>27</v>
      </c>
      <c r="Q300" t="s">
        <v>939</v>
      </c>
      <c r="R300" t="s">
        <v>587</v>
      </c>
      <c r="S300">
        <v>132.14249999999998</v>
      </c>
      <c r="T300">
        <v>1</v>
      </c>
      <c r="U300">
        <v>0.25</v>
      </c>
      <c r="V300">
        <v>-44.047499999999999</v>
      </c>
      <c r="W300" s="3">
        <v>5.55</v>
      </c>
      <c r="X300" t="s">
        <v>934</v>
      </c>
    </row>
    <row r="301" spans="1:24" x14ac:dyDescent="0.25">
      <c r="A301">
        <v>23654</v>
      </c>
      <c r="B301" t="s">
        <v>2040</v>
      </c>
      <c r="C301" s="1">
        <v>42238</v>
      </c>
      <c r="D301" s="1">
        <v>42240</v>
      </c>
      <c r="E301" t="s">
        <v>43</v>
      </c>
      <c r="F301" t="s">
        <v>1249</v>
      </c>
      <c r="G301" t="s">
        <v>352</v>
      </c>
      <c r="H301" t="s">
        <v>20</v>
      </c>
      <c r="I301" t="s">
        <v>916</v>
      </c>
      <c r="J301" t="s">
        <v>911</v>
      </c>
      <c r="K301" t="s">
        <v>903</v>
      </c>
      <c r="M301" t="s">
        <v>2991</v>
      </c>
      <c r="N301" t="s">
        <v>946</v>
      </c>
      <c r="O301" t="s">
        <v>2751</v>
      </c>
      <c r="P301" t="s">
        <v>22</v>
      </c>
      <c r="Q301" t="s">
        <v>940</v>
      </c>
      <c r="R301" t="s">
        <v>51</v>
      </c>
      <c r="S301">
        <v>130.28400000000002</v>
      </c>
      <c r="T301">
        <v>8</v>
      </c>
      <c r="U301">
        <v>0.45</v>
      </c>
      <c r="V301">
        <v>-85.476000000000013</v>
      </c>
      <c r="W301" s="3">
        <v>8.7100000000000009</v>
      </c>
      <c r="X301" t="s">
        <v>931</v>
      </c>
    </row>
    <row r="302" spans="1:24" x14ac:dyDescent="0.25">
      <c r="A302">
        <v>29134</v>
      </c>
      <c r="B302" t="s">
        <v>2363</v>
      </c>
      <c r="C302" s="1">
        <v>42120</v>
      </c>
      <c r="D302" s="1">
        <v>42127</v>
      </c>
      <c r="E302" t="s">
        <v>19</v>
      </c>
      <c r="F302" t="s">
        <v>1268</v>
      </c>
      <c r="G302" t="s">
        <v>314</v>
      </c>
      <c r="H302" t="s">
        <v>20</v>
      </c>
      <c r="I302" t="s">
        <v>912</v>
      </c>
      <c r="J302" t="s">
        <v>913</v>
      </c>
      <c r="K302" t="s">
        <v>903</v>
      </c>
      <c r="M302" t="s">
        <v>2991</v>
      </c>
      <c r="N302" t="s">
        <v>946</v>
      </c>
      <c r="O302" t="s">
        <v>2924</v>
      </c>
      <c r="P302" t="s">
        <v>22</v>
      </c>
      <c r="Q302" t="s">
        <v>942</v>
      </c>
      <c r="R302" t="s">
        <v>329</v>
      </c>
      <c r="S302">
        <v>129.54000000000002</v>
      </c>
      <c r="T302">
        <v>5</v>
      </c>
      <c r="U302">
        <v>0.15000000000000002</v>
      </c>
      <c r="V302">
        <v>19.739999999999988</v>
      </c>
      <c r="W302" s="3">
        <v>13.12</v>
      </c>
      <c r="X302" t="s">
        <v>934</v>
      </c>
    </row>
    <row r="303" spans="1:24" x14ac:dyDescent="0.25">
      <c r="A303">
        <v>29684</v>
      </c>
      <c r="B303" t="s">
        <v>2388</v>
      </c>
      <c r="C303" s="1">
        <v>42444</v>
      </c>
      <c r="D303" s="1">
        <v>42450</v>
      </c>
      <c r="E303" t="s">
        <v>19</v>
      </c>
      <c r="F303" t="s">
        <v>1360</v>
      </c>
      <c r="G303" t="s">
        <v>218</v>
      </c>
      <c r="H303" t="s">
        <v>20</v>
      </c>
      <c r="I303" t="s">
        <v>905</v>
      </c>
      <c r="J303" t="s">
        <v>902</v>
      </c>
      <c r="K303" t="s">
        <v>903</v>
      </c>
      <c r="M303" t="s">
        <v>2991</v>
      </c>
      <c r="N303" t="s">
        <v>946</v>
      </c>
      <c r="O303" t="s">
        <v>2859</v>
      </c>
      <c r="P303" t="s">
        <v>22</v>
      </c>
      <c r="Q303" t="s">
        <v>942</v>
      </c>
      <c r="R303" t="s">
        <v>46</v>
      </c>
      <c r="S303">
        <v>128.9025</v>
      </c>
      <c r="T303">
        <v>3</v>
      </c>
      <c r="U303">
        <v>0.15000000000000002</v>
      </c>
      <c r="V303">
        <v>30.262499999999989</v>
      </c>
      <c r="W303" s="3">
        <v>10.85</v>
      </c>
      <c r="X303" t="s">
        <v>933</v>
      </c>
    </row>
    <row r="304" spans="1:24" x14ac:dyDescent="0.25">
      <c r="A304">
        <v>25195</v>
      </c>
      <c r="B304" t="s">
        <v>2118</v>
      </c>
      <c r="C304" s="1">
        <v>42418</v>
      </c>
      <c r="D304" s="1">
        <v>42420</v>
      </c>
      <c r="E304" t="s">
        <v>47</v>
      </c>
      <c r="F304" t="s">
        <v>1115</v>
      </c>
      <c r="G304" t="s">
        <v>553</v>
      </c>
      <c r="H304" t="s">
        <v>20</v>
      </c>
      <c r="I304" t="s">
        <v>922</v>
      </c>
      <c r="J304" t="s">
        <v>923</v>
      </c>
      <c r="K304" t="s">
        <v>903</v>
      </c>
      <c r="M304" t="s">
        <v>2991</v>
      </c>
      <c r="N304" t="s">
        <v>946</v>
      </c>
      <c r="O304" t="s">
        <v>2717</v>
      </c>
      <c r="P304" t="s">
        <v>31</v>
      </c>
      <c r="Q304" t="s">
        <v>938</v>
      </c>
      <c r="R304" t="s">
        <v>429</v>
      </c>
      <c r="S304">
        <v>127.88999999999999</v>
      </c>
      <c r="T304">
        <v>2</v>
      </c>
      <c r="U304">
        <v>0.25</v>
      </c>
      <c r="V304">
        <v>28.950000000000003</v>
      </c>
      <c r="W304" s="3">
        <v>21.1</v>
      </c>
      <c r="X304" t="s">
        <v>931</v>
      </c>
    </row>
    <row r="305" spans="1:24" x14ac:dyDescent="0.25">
      <c r="A305">
        <v>27168</v>
      </c>
      <c r="B305" t="s">
        <v>2249</v>
      </c>
      <c r="C305" s="1">
        <v>41923</v>
      </c>
      <c r="D305" s="1">
        <v>41930</v>
      </c>
      <c r="E305" t="s">
        <v>19</v>
      </c>
      <c r="F305" t="s">
        <v>972</v>
      </c>
      <c r="G305" t="s">
        <v>678</v>
      </c>
      <c r="H305" t="s">
        <v>39</v>
      </c>
      <c r="I305" t="s">
        <v>906</v>
      </c>
      <c r="J305" t="s">
        <v>902</v>
      </c>
      <c r="K305" t="s">
        <v>903</v>
      </c>
      <c r="M305" t="s">
        <v>2991</v>
      </c>
      <c r="N305" t="s">
        <v>946</v>
      </c>
      <c r="O305" t="s">
        <v>2960</v>
      </c>
      <c r="P305" t="s">
        <v>22</v>
      </c>
      <c r="Q305" t="s">
        <v>30</v>
      </c>
      <c r="R305" t="s">
        <v>516</v>
      </c>
      <c r="S305">
        <v>127.13250000000002</v>
      </c>
      <c r="T305">
        <v>5</v>
      </c>
      <c r="U305">
        <v>0.45</v>
      </c>
      <c r="V305">
        <v>-18.517500000000013</v>
      </c>
      <c r="W305" s="3">
        <v>5.73</v>
      </c>
      <c r="X305" t="s">
        <v>933</v>
      </c>
    </row>
    <row r="306" spans="1:24" x14ac:dyDescent="0.25">
      <c r="A306">
        <v>26203</v>
      </c>
      <c r="B306" t="s">
        <v>2181</v>
      </c>
      <c r="C306" s="1">
        <v>42100</v>
      </c>
      <c r="D306" s="1">
        <v>42106</v>
      </c>
      <c r="E306" t="s">
        <v>19</v>
      </c>
      <c r="F306" t="s">
        <v>1190</v>
      </c>
      <c r="G306" t="s">
        <v>591</v>
      </c>
      <c r="H306" t="s">
        <v>20</v>
      </c>
      <c r="I306" t="s">
        <v>906</v>
      </c>
      <c r="J306" t="s">
        <v>902</v>
      </c>
      <c r="K306" t="s">
        <v>903</v>
      </c>
      <c r="M306" t="s">
        <v>2991</v>
      </c>
      <c r="N306" t="s">
        <v>946</v>
      </c>
      <c r="O306" t="s">
        <v>2624</v>
      </c>
      <c r="P306" t="s">
        <v>22</v>
      </c>
      <c r="Q306" t="s">
        <v>940</v>
      </c>
      <c r="R306" t="s">
        <v>343</v>
      </c>
      <c r="S306">
        <v>126.96750000000002</v>
      </c>
      <c r="T306">
        <v>5</v>
      </c>
      <c r="U306">
        <v>0.45</v>
      </c>
      <c r="V306">
        <v>-60.08250000000001</v>
      </c>
      <c r="W306" s="3">
        <v>6.77</v>
      </c>
      <c r="X306" t="s">
        <v>933</v>
      </c>
    </row>
    <row r="307" spans="1:24" x14ac:dyDescent="0.25">
      <c r="A307">
        <v>20778</v>
      </c>
      <c r="B307" t="s">
        <v>1864</v>
      </c>
      <c r="C307" s="1">
        <v>41651</v>
      </c>
      <c r="D307" s="1">
        <v>41656</v>
      </c>
      <c r="E307" t="s">
        <v>19</v>
      </c>
      <c r="F307" t="s">
        <v>1107</v>
      </c>
      <c r="G307" t="s">
        <v>385</v>
      </c>
      <c r="H307" t="s">
        <v>20</v>
      </c>
      <c r="I307" t="s">
        <v>901</v>
      </c>
      <c r="J307" t="s">
        <v>902</v>
      </c>
      <c r="K307" t="s">
        <v>903</v>
      </c>
      <c r="M307" t="s">
        <v>2991</v>
      </c>
      <c r="N307" t="s">
        <v>946</v>
      </c>
      <c r="O307" t="s">
        <v>2597</v>
      </c>
      <c r="P307" t="s">
        <v>22</v>
      </c>
      <c r="Q307" t="s">
        <v>942</v>
      </c>
      <c r="R307" t="s">
        <v>121</v>
      </c>
      <c r="S307">
        <v>126.91350000000001</v>
      </c>
      <c r="T307">
        <v>3</v>
      </c>
      <c r="U307">
        <v>0.15000000000000002</v>
      </c>
      <c r="V307">
        <v>28.363499999999984</v>
      </c>
      <c r="W307" s="3">
        <v>9.85</v>
      </c>
      <c r="X307" t="s">
        <v>933</v>
      </c>
    </row>
    <row r="308" spans="1:24" x14ac:dyDescent="0.25">
      <c r="A308">
        <v>23512</v>
      </c>
      <c r="B308" t="s">
        <v>2030</v>
      </c>
      <c r="C308" s="1">
        <v>41913</v>
      </c>
      <c r="D308" s="1">
        <v>41917</v>
      </c>
      <c r="E308" t="s">
        <v>19</v>
      </c>
      <c r="F308" t="s">
        <v>1153</v>
      </c>
      <c r="G308" t="s">
        <v>338</v>
      </c>
      <c r="H308" t="s">
        <v>39</v>
      </c>
      <c r="I308" t="s">
        <v>906</v>
      </c>
      <c r="J308" t="s">
        <v>902</v>
      </c>
      <c r="K308" t="s">
        <v>903</v>
      </c>
      <c r="M308" t="s">
        <v>2991</v>
      </c>
      <c r="N308" t="s">
        <v>946</v>
      </c>
      <c r="O308" t="s">
        <v>2693</v>
      </c>
      <c r="P308" t="s">
        <v>31</v>
      </c>
      <c r="Q308" t="s">
        <v>938</v>
      </c>
      <c r="R308" t="s">
        <v>888</v>
      </c>
      <c r="S308">
        <v>126.89999999999999</v>
      </c>
      <c r="T308">
        <v>2</v>
      </c>
      <c r="U308">
        <v>0.25</v>
      </c>
      <c r="V308">
        <v>-1.7399999999999949</v>
      </c>
      <c r="W308" s="3">
        <v>10.39</v>
      </c>
      <c r="X308" t="s">
        <v>933</v>
      </c>
    </row>
    <row r="309" spans="1:24" x14ac:dyDescent="0.25">
      <c r="A309">
        <v>25177</v>
      </c>
      <c r="B309" t="s">
        <v>2117</v>
      </c>
      <c r="C309" s="1">
        <v>42653</v>
      </c>
      <c r="D309" s="1">
        <v>42655</v>
      </c>
      <c r="E309" t="s">
        <v>43</v>
      </c>
      <c r="F309" t="s">
        <v>1092</v>
      </c>
      <c r="G309" t="s">
        <v>675</v>
      </c>
      <c r="H309" t="s">
        <v>39</v>
      </c>
      <c r="I309" t="s">
        <v>916</v>
      </c>
      <c r="J309" t="s">
        <v>911</v>
      </c>
      <c r="K309" t="s">
        <v>903</v>
      </c>
      <c r="M309" t="s">
        <v>2991</v>
      </c>
      <c r="N309" t="s">
        <v>946</v>
      </c>
      <c r="O309" t="s">
        <v>2576</v>
      </c>
      <c r="P309" t="s">
        <v>27</v>
      </c>
      <c r="Q309" t="s">
        <v>939</v>
      </c>
      <c r="R309" t="s">
        <v>631</v>
      </c>
      <c r="S309">
        <v>125.86499999999999</v>
      </c>
      <c r="T309">
        <v>2</v>
      </c>
      <c r="U309">
        <v>0.25</v>
      </c>
      <c r="V309">
        <v>40.24499999999999</v>
      </c>
      <c r="W309" s="3">
        <v>15.55</v>
      </c>
      <c r="X309" t="s">
        <v>931</v>
      </c>
    </row>
    <row r="310" spans="1:24" x14ac:dyDescent="0.25">
      <c r="A310">
        <v>21967</v>
      </c>
      <c r="B310" t="s">
        <v>1930</v>
      </c>
      <c r="C310" s="1">
        <v>42245</v>
      </c>
      <c r="D310" s="1">
        <v>42251</v>
      </c>
      <c r="E310" t="s">
        <v>19</v>
      </c>
      <c r="F310" t="s">
        <v>1176</v>
      </c>
      <c r="G310" t="s">
        <v>677</v>
      </c>
      <c r="H310" t="s">
        <v>37</v>
      </c>
      <c r="I310" t="s">
        <v>220</v>
      </c>
      <c r="J310" t="s">
        <v>919</v>
      </c>
      <c r="K310" t="s">
        <v>903</v>
      </c>
      <c r="M310" t="s">
        <v>2991</v>
      </c>
      <c r="N310" t="s">
        <v>946</v>
      </c>
      <c r="O310" t="s">
        <v>2789</v>
      </c>
      <c r="P310" t="s">
        <v>31</v>
      </c>
      <c r="Q310" t="s">
        <v>943</v>
      </c>
      <c r="R310" t="s">
        <v>756</v>
      </c>
      <c r="S310">
        <v>125.40450000000001</v>
      </c>
      <c r="T310">
        <v>1</v>
      </c>
      <c r="U310">
        <v>0.35</v>
      </c>
      <c r="V310">
        <v>-25.105499999999992</v>
      </c>
      <c r="W310" s="3">
        <v>18.53</v>
      </c>
      <c r="X310" t="s">
        <v>934</v>
      </c>
    </row>
    <row r="311" spans="1:24" x14ac:dyDescent="0.25">
      <c r="A311">
        <v>22034</v>
      </c>
      <c r="B311" t="s">
        <v>1933</v>
      </c>
      <c r="C311" s="1">
        <v>42478</v>
      </c>
      <c r="D311" s="1">
        <v>42482</v>
      </c>
      <c r="E311" t="s">
        <v>19</v>
      </c>
      <c r="F311" t="s">
        <v>1194</v>
      </c>
      <c r="G311" t="s">
        <v>709</v>
      </c>
      <c r="H311" t="s">
        <v>20</v>
      </c>
      <c r="I311" t="s">
        <v>906</v>
      </c>
      <c r="J311" t="s">
        <v>902</v>
      </c>
      <c r="K311" t="s">
        <v>903</v>
      </c>
      <c r="M311" t="s">
        <v>2991</v>
      </c>
      <c r="N311" t="s">
        <v>946</v>
      </c>
      <c r="O311" t="s">
        <v>2789</v>
      </c>
      <c r="P311" t="s">
        <v>31</v>
      </c>
      <c r="Q311" t="s">
        <v>943</v>
      </c>
      <c r="R311" t="s">
        <v>756</v>
      </c>
      <c r="S311">
        <v>125.40450000000001</v>
      </c>
      <c r="T311">
        <v>1</v>
      </c>
      <c r="U311">
        <v>0.35</v>
      </c>
      <c r="V311">
        <v>-25.105499999999992</v>
      </c>
      <c r="W311" s="3">
        <v>6.85</v>
      </c>
      <c r="X311" t="s">
        <v>933</v>
      </c>
    </row>
    <row r="312" spans="1:24" x14ac:dyDescent="0.25">
      <c r="A312">
        <v>22943</v>
      </c>
      <c r="B312" t="s">
        <v>1992</v>
      </c>
      <c r="C312" s="1">
        <v>41333</v>
      </c>
      <c r="D312" s="1">
        <v>41337</v>
      </c>
      <c r="E312" t="s">
        <v>43</v>
      </c>
      <c r="F312" t="s">
        <v>1177</v>
      </c>
      <c r="G312" t="s">
        <v>815</v>
      </c>
      <c r="H312" t="s">
        <v>37</v>
      </c>
      <c r="I312" t="s">
        <v>906</v>
      </c>
      <c r="J312" t="s">
        <v>902</v>
      </c>
      <c r="K312" t="s">
        <v>903</v>
      </c>
      <c r="M312" t="s">
        <v>2991</v>
      </c>
      <c r="N312" t="s">
        <v>946</v>
      </c>
      <c r="O312" t="s">
        <v>2509</v>
      </c>
      <c r="P312" t="s">
        <v>22</v>
      </c>
      <c r="Q312" t="s">
        <v>942</v>
      </c>
      <c r="R312" t="s">
        <v>143</v>
      </c>
      <c r="S312">
        <v>125.33250000000001</v>
      </c>
      <c r="T312">
        <v>5</v>
      </c>
      <c r="U312">
        <v>0.15000000000000002</v>
      </c>
      <c r="V312">
        <v>41.18249999999999</v>
      </c>
      <c r="W312" s="3">
        <v>7.71</v>
      </c>
      <c r="X312" t="s">
        <v>933</v>
      </c>
    </row>
    <row r="313" spans="1:24" x14ac:dyDescent="0.25">
      <c r="A313">
        <v>27471</v>
      </c>
      <c r="B313" t="s">
        <v>2274</v>
      </c>
      <c r="C313" s="1">
        <v>42535</v>
      </c>
      <c r="D313" s="1">
        <v>42540</v>
      </c>
      <c r="E313" t="s">
        <v>19</v>
      </c>
      <c r="F313" t="s">
        <v>1508</v>
      </c>
      <c r="G313" t="s">
        <v>630</v>
      </c>
      <c r="H313" t="s">
        <v>20</v>
      </c>
      <c r="I313" t="s">
        <v>901</v>
      </c>
      <c r="J313" t="s">
        <v>902</v>
      </c>
      <c r="K313" t="s">
        <v>903</v>
      </c>
      <c r="M313" t="s">
        <v>2991</v>
      </c>
      <c r="N313" t="s">
        <v>946</v>
      </c>
      <c r="O313" t="s">
        <v>2566</v>
      </c>
      <c r="P313" t="s">
        <v>31</v>
      </c>
      <c r="Q313" t="s">
        <v>944</v>
      </c>
      <c r="R313" t="s">
        <v>169</v>
      </c>
      <c r="S313">
        <v>125.23500000000001</v>
      </c>
      <c r="T313">
        <v>1</v>
      </c>
      <c r="U313">
        <v>0.25</v>
      </c>
      <c r="V313">
        <v>-3.3449999999999989</v>
      </c>
      <c r="W313" s="3">
        <v>7.71</v>
      </c>
      <c r="X313" t="s">
        <v>931</v>
      </c>
    </row>
    <row r="314" spans="1:24" x14ac:dyDescent="0.25">
      <c r="A314">
        <v>23023</v>
      </c>
      <c r="B314" t="s">
        <v>1997</v>
      </c>
      <c r="C314" s="1">
        <v>41439</v>
      </c>
      <c r="D314" s="1">
        <v>41444</v>
      </c>
      <c r="E314" t="s">
        <v>19</v>
      </c>
      <c r="F314" t="s">
        <v>1328</v>
      </c>
      <c r="G314" t="s">
        <v>590</v>
      </c>
      <c r="H314" t="s">
        <v>20</v>
      </c>
      <c r="I314" t="s">
        <v>906</v>
      </c>
      <c r="J314" t="s">
        <v>902</v>
      </c>
      <c r="K314" t="s">
        <v>903</v>
      </c>
      <c r="M314" t="s">
        <v>2991</v>
      </c>
      <c r="N314" t="s">
        <v>946</v>
      </c>
      <c r="O314" t="s">
        <v>2885</v>
      </c>
      <c r="P314" t="s">
        <v>22</v>
      </c>
      <c r="Q314" t="s">
        <v>69</v>
      </c>
      <c r="R314" t="s">
        <v>864</v>
      </c>
      <c r="S314">
        <v>123.99750000000003</v>
      </c>
      <c r="T314">
        <v>5</v>
      </c>
      <c r="U314">
        <v>0.45</v>
      </c>
      <c r="V314">
        <v>-67.702500000000015</v>
      </c>
      <c r="W314" s="3">
        <v>6.54</v>
      </c>
      <c r="X314" t="s">
        <v>933</v>
      </c>
    </row>
    <row r="315" spans="1:24" x14ac:dyDescent="0.25">
      <c r="A315">
        <v>29153</v>
      </c>
      <c r="B315" t="s">
        <v>2366</v>
      </c>
      <c r="C315" s="1">
        <v>41669</v>
      </c>
      <c r="D315" s="1">
        <v>41670</v>
      </c>
      <c r="E315" t="s">
        <v>47</v>
      </c>
      <c r="F315" t="s">
        <v>1111</v>
      </c>
      <c r="G315" t="s">
        <v>226</v>
      </c>
      <c r="H315" t="s">
        <v>37</v>
      </c>
      <c r="I315" t="s">
        <v>920</v>
      </c>
      <c r="J315" t="s">
        <v>911</v>
      </c>
      <c r="K315" t="s">
        <v>903</v>
      </c>
      <c r="M315" t="s">
        <v>2991</v>
      </c>
      <c r="N315" t="s">
        <v>946</v>
      </c>
      <c r="O315" t="s">
        <v>2458</v>
      </c>
      <c r="P315" t="s">
        <v>22</v>
      </c>
      <c r="Q315" t="s">
        <v>69</v>
      </c>
      <c r="R315" t="s">
        <v>521</v>
      </c>
      <c r="S315">
        <v>123.42000000000002</v>
      </c>
      <c r="T315">
        <v>5</v>
      </c>
      <c r="U315">
        <v>0.45</v>
      </c>
      <c r="V315">
        <v>-33.78</v>
      </c>
      <c r="W315" s="3">
        <v>20.11</v>
      </c>
      <c r="X315" t="s">
        <v>932</v>
      </c>
    </row>
    <row r="316" spans="1:24" x14ac:dyDescent="0.25">
      <c r="A316">
        <v>26354</v>
      </c>
      <c r="B316" t="s">
        <v>2197</v>
      </c>
      <c r="C316" s="1">
        <v>41536</v>
      </c>
      <c r="D316" s="1">
        <v>41537</v>
      </c>
      <c r="E316" t="s">
        <v>47</v>
      </c>
      <c r="F316" t="s">
        <v>1119</v>
      </c>
      <c r="G316" t="s">
        <v>879</v>
      </c>
      <c r="H316" t="s">
        <v>39</v>
      </c>
      <c r="I316" t="s">
        <v>922</v>
      </c>
      <c r="J316" t="s">
        <v>923</v>
      </c>
      <c r="K316" t="s">
        <v>903</v>
      </c>
      <c r="M316" t="s">
        <v>2991</v>
      </c>
      <c r="N316" t="s">
        <v>946</v>
      </c>
      <c r="O316" t="s">
        <v>2977</v>
      </c>
      <c r="P316" t="s">
        <v>31</v>
      </c>
      <c r="Q316" t="s">
        <v>944</v>
      </c>
      <c r="R316" t="s">
        <v>739</v>
      </c>
      <c r="S316">
        <v>122.625</v>
      </c>
      <c r="T316">
        <v>2</v>
      </c>
      <c r="U316">
        <v>0.25</v>
      </c>
      <c r="V316">
        <v>11.445000000000007</v>
      </c>
      <c r="W316" s="3">
        <v>12.9</v>
      </c>
      <c r="X316" t="s">
        <v>931</v>
      </c>
    </row>
    <row r="317" spans="1:24" x14ac:dyDescent="0.25">
      <c r="A317">
        <v>24359</v>
      </c>
      <c r="B317" t="s">
        <v>2074</v>
      </c>
      <c r="C317" s="1">
        <v>42019</v>
      </c>
      <c r="D317" s="1">
        <v>42025</v>
      </c>
      <c r="E317" t="s">
        <v>19</v>
      </c>
      <c r="F317" t="s">
        <v>1287</v>
      </c>
      <c r="G317" t="s">
        <v>397</v>
      </c>
      <c r="H317" t="s">
        <v>20</v>
      </c>
      <c r="I317" t="s">
        <v>906</v>
      </c>
      <c r="J317" t="s">
        <v>902</v>
      </c>
      <c r="K317" t="s">
        <v>903</v>
      </c>
      <c r="M317" t="s">
        <v>2991</v>
      </c>
      <c r="N317" t="s">
        <v>946</v>
      </c>
      <c r="O317" t="s">
        <v>2845</v>
      </c>
      <c r="P317" t="s">
        <v>22</v>
      </c>
      <c r="Q317" t="s">
        <v>942</v>
      </c>
      <c r="R317" t="s">
        <v>309</v>
      </c>
      <c r="S317">
        <v>122.39999999999998</v>
      </c>
      <c r="T317">
        <v>5</v>
      </c>
      <c r="U317">
        <v>0.15000000000000002</v>
      </c>
      <c r="V317">
        <v>0</v>
      </c>
      <c r="W317" s="3">
        <v>21.71</v>
      </c>
      <c r="X317" t="s">
        <v>934</v>
      </c>
    </row>
    <row r="318" spans="1:24" x14ac:dyDescent="0.25">
      <c r="A318">
        <v>20299</v>
      </c>
      <c r="B318" t="s">
        <v>1841</v>
      </c>
      <c r="C318" s="1">
        <v>42545</v>
      </c>
      <c r="D318" s="1">
        <v>42551</v>
      </c>
      <c r="E318" t="s">
        <v>19</v>
      </c>
      <c r="F318" t="s">
        <v>954</v>
      </c>
      <c r="G318" t="s">
        <v>524</v>
      </c>
      <c r="H318" t="s">
        <v>20</v>
      </c>
      <c r="I318" t="s">
        <v>921</v>
      </c>
      <c r="J318" t="s">
        <v>902</v>
      </c>
      <c r="K318" t="s">
        <v>903</v>
      </c>
      <c r="M318" t="s">
        <v>2991</v>
      </c>
      <c r="N318" t="s">
        <v>946</v>
      </c>
      <c r="O318" t="s">
        <v>2447</v>
      </c>
      <c r="P318" t="s">
        <v>22</v>
      </c>
      <c r="Q318" t="s">
        <v>50</v>
      </c>
      <c r="R318" t="s">
        <v>796</v>
      </c>
      <c r="S318">
        <v>121.074</v>
      </c>
      <c r="T318">
        <v>2</v>
      </c>
      <c r="U318">
        <v>0.15000000000000002</v>
      </c>
      <c r="V318">
        <v>37.013999999999996</v>
      </c>
      <c r="W318" s="3">
        <v>12.35</v>
      </c>
      <c r="X318" t="s">
        <v>933</v>
      </c>
    </row>
    <row r="319" spans="1:24" x14ac:dyDescent="0.25">
      <c r="A319">
        <v>22942</v>
      </c>
      <c r="B319" t="s">
        <v>1992</v>
      </c>
      <c r="C319" s="1">
        <v>41333</v>
      </c>
      <c r="D319" s="1">
        <v>41337</v>
      </c>
      <c r="E319" t="s">
        <v>43</v>
      </c>
      <c r="F319" t="s">
        <v>1177</v>
      </c>
      <c r="G319" t="s">
        <v>815</v>
      </c>
      <c r="H319" t="s">
        <v>37</v>
      </c>
      <c r="I319" t="s">
        <v>906</v>
      </c>
      <c r="J319" t="s">
        <v>902</v>
      </c>
      <c r="K319" t="s">
        <v>903</v>
      </c>
      <c r="M319" t="s">
        <v>2991</v>
      </c>
      <c r="N319" t="s">
        <v>946</v>
      </c>
      <c r="O319" t="s">
        <v>2880</v>
      </c>
      <c r="P319" t="s">
        <v>31</v>
      </c>
      <c r="Q319" t="s">
        <v>945</v>
      </c>
      <c r="R319" t="s">
        <v>510</v>
      </c>
      <c r="S319">
        <v>119.54250000000002</v>
      </c>
      <c r="T319">
        <v>3</v>
      </c>
      <c r="U319">
        <v>0.45</v>
      </c>
      <c r="V319">
        <v>10.822499999999991</v>
      </c>
      <c r="W319" s="3">
        <v>18.64</v>
      </c>
      <c r="X319" t="s">
        <v>933</v>
      </c>
    </row>
    <row r="320" spans="1:24" x14ac:dyDescent="0.25">
      <c r="A320">
        <v>20476</v>
      </c>
      <c r="B320" t="s">
        <v>1850</v>
      </c>
      <c r="C320" s="1">
        <v>41956</v>
      </c>
      <c r="D320" s="1">
        <v>41959</v>
      </c>
      <c r="E320" t="s">
        <v>47</v>
      </c>
      <c r="F320" t="s">
        <v>1436</v>
      </c>
      <c r="G320" t="s">
        <v>311</v>
      </c>
      <c r="H320" t="s">
        <v>39</v>
      </c>
      <c r="I320" t="s">
        <v>906</v>
      </c>
      <c r="J320" t="s">
        <v>902</v>
      </c>
      <c r="K320" t="s">
        <v>903</v>
      </c>
      <c r="M320" t="s">
        <v>2991</v>
      </c>
      <c r="N320" t="s">
        <v>946</v>
      </c>
      <c r="O320" t="s">
        <v>2513</v>
      </c>
      <c r="P320" t="s">
        <v>31</v>
      </c>
      <c r="Q320" t="s">
        <v>945</v>
      </c>
      <c r="R320" t="s">
        <v>562</v>
      </c>
      <c r="S320">
        <v>118.965</v>
      </c>
      <c r="T320">
        <v>7</v>
      </c>
      <c r="U320">
        <v>0.45</v>
      </c>
      <c r="V320">
        <v>-45.465000000000003</v>
      </c>
      <c r="W320" s="3">
        <v>6.63</v>
      </c>
      <c r="X320" t="s">
        <v>933</v>
      </c>
    </row>
    <row r="321" spans="1:24" x14ac:dyDescent="0.25">
      <c r="A321">
        <v>29919</v>
      </c>
      <c r="B321" t="s">
        <v>2409</v>
      </c>
      <c r="C321" s="1">
        <v>42663</v>
      </c>
      <c r="D321" s="1">
        <v>42665</v>
      </c>
      <c r="E321" t="s">
        <v>43</v>
      </c>
      <c r="F321" t="s">
        <v>1117</v>
      </c>
      <c r="G321" t="s">
        <v>395</v>
      </c>
      <c r="H321" t="s">
        <v>37</v>
      </c>
      <c r="I321" t="s">
        <v>924</v>
      </c>
      <c r="J321" t="s">
        <v>911</v>
      </c>
      <c r="K321" t="s">
        <v>903</v>
      </c>
      <c r="M321" t="s">
        <v>2991</v>
      </c>
      <c r="N321" t="s">
        <v>946</v>
      </c>
      <c r="O321" t="s">
        <v>2674</v>
      </c>
      <c r="P321" t="s">
        <v>27</v>
      </c>
      <c r="Q321" t="s">
        <v>936</v>
      </c>
      <c r="R321" t="s">
        <v>583</v>
      </c>
      <c r="S321">
        <v>118.66500000000002</v>
      </c>
      <c r="T321">
        <v>6</v>
      </c>
      <c r="U321">
        <v>0.25</v>
      </c>
      <c r="V321">
        <v>18.944999999999993</v>
      </c>
      <c r="W321" s="3">
        <v>24.73</v>
      </c>
      <c r="X321" t="s">
        <v>931</v>
      </c>
    </row>
    <row r="322" spans="1:24" x14ac:dyDescent="0.25">
      <c r="A322">
        <v>27604</v>
      </c>
      <c r="B322" t="s">
        <v>2285</v>
      </c>
      <c r="C322" s="1">
        <v>42266</v>
      </c>
      <c r="D322" s="1">
        <v>42268</v>
      </c>
      <c r="E322" t="s">
        <v>47</v>
      </c>
      <c r="F322" t="s">
        <v>1102</v>
      </c>
      <c r="G322" t="s">
        <v>97</v>
      </c>
      <c r="H322" t="s">
        <v>20</v>
      </c>
      <c r="I322" t="s">
        <v>920</v>
      </c>
      <c r="J322" t="s">
        <v>911</v>
      </c>
      <c r="K322" t="s">
        <v>903</v>
      </c>
      <c r="M322" t="s">
        <v>2991</v>
      </c>
      <c r="N322" t="s">
        <v>946</v>
      </c>
      <c r="O322" t="s">
        <v>2835</v>
      </c>
      <c r="P322" t="s">
        <v>22</v>
      </c>
      <c r="Q322" t="s">
        <v>69</v>
      </c>
      <c r="R322" t="s">
        <v>778</v>
      </c>
      <c r="S322">
        <v>118.27200000000001</v>
      </c>
      <c r="T322">
        <v>7</v>
      </c>
      <c r="U322">
        <v>0.45</v>
      </c>
      <c r="V322">
        <v>-43.008000000000003</v>
      </c>
      <c r="W322" s="3">
        <v>22.79</v>
      </c>
      <c r="X322" t="s">
        <v>931</v>
      </c>
    </row>
    <row r="323" spans="1:24" x14ac:dyDescent="0.25">
      <c r="A323">
        <v>28682</v>
      </c>
      <c r="B323" t="s">
        <v>2336</v>
      </c>
      <c r="C323" s="1">
        <v>42231</v>
      </c>
      <c r="D323" s="1">
        <v>42233</v>
      </c>
      <c r="E323" t="s">
        <v>43</v>
      </c>
      <c r="F323" t="s">
        <v>1154</v>
      </c>
      <c r="G323" t="s">
        <v>155</v>
      </c>
      <c r="H323" t="s">
        <v>37</v>
      </c>
      <c r="I323" t="s">
        <v>910</v>
      </c>
      <c r="J323" t="s">
        <v>902</v>
      </c>
      <c r="K323" t="s">
        <v>903</v>
      </c>
      <c r="M323" t="s">
        <v>2991</v>
      </c>
      <c r="N323" t="s">
        <v>946</v>
      </c>
      <c r="O323" t="s">
        <v>2948</v>
      </c>
      <c r="P323" t="s">
        <v>22</v>
      </c>
      <c r="Q323" t="s">
        <v>935</v>
      </c>
      <c r="R323" t="s">
        <v>654</v>
      </c>
      <c r="S323">
        <v>118.15649999999999</v>
      </c>
      <c r="T323">
        <v>7</v>
      </c>
      <c r="U323">
        <v>0.45</v>
      </c>
      <c r="V323">
        <v>8.5365000000000038</v>
      </c>
      <c r="W323" s="3">
        <v>10.65</v>
      </c>
      <c r="X323" t="s">
        <v>933</v>
      </c>
    </row>
    <row r="324" spans="1:24" x14ac:dyDescent="0.25">
      <c r="A324">
        <v>29949</v>
      </c>
      <c r="B324" t="s">
        <v>2411</v>
      </c>
      <c r="C324" s="1">
        <v>42380</v>
      </c>
      <c r="D324" s="1">
        <v>42385</v>
      </c>
      <c r="E324" t="s">
        <v>19</v>
      </c>
      <c r="F324" t="s">
        <v>966</v>
      </c>
      <c r="G324" t="s">
        <v>346</v>
      </c>
      <c r="H324" t="s">
        <v>20</v>
      </c>
      <c r="I324" t="s">
        <v>906</v>
      </c>
      <c r="J324" t="s">
        <v>902</v>
      </c>
      <c r="K324" t="s">
        <v>903</v>
      </c>
      <c r="M324" t="s">
        <v>2991</v>
      </c>
      <c r="N324" t="s">
        <v>946</v>
      </c>
      <c r="O324" t="s">
        <v>2866</v>
      </c>
      <c r="P324" t="s">
        <v>22</v>
      </c>
      <c r="Q324" t="s">
        <v>940</v>
      </c>
      <c r="R324" t="s">
        <v>72</v>
      </c>
      <c r="S324">
        <v>117.56250000000003</v>
      </c>
      <c r="T324">
        <v>5</v>
      </c>
      <c r="U324">
        <v>0.45</v>
      </c>
      <c r="V324">
        <v>-55.687500000000021</v>
      </c>
      <c r="W324" s="3">
        <v>14.75</v>
      </c>
      <c r="X324" t="s">
        <v>931</v>
      </c>
    </row>
    <row r="325" spans="1:24" x14ac:dyDescent="0.25">
      <c r="A325">
        <v>20547</v>
      </c>
      <c r="B325" t="s">
        <v>1853</v>
      </c>
      <c r="C325" s="1">
        <v>41809</v>
      </c>
      <c r="D325" s="1">
        <v>41814</v>
      </c>
      <c r="E325" t="s">
        <v>19</v>
      </c>
      <c r="F325" t="s">
        <v>1273</v>
      </c>
      <c r="G325" t="s">
        <v>230</v>
      </c>
      <c r="H325" t="s">
        <v>37</v>
      </c>
      <c r="I325" t="s">
        <v>906</v>
      </c>
      <c r="J325" t="s">
        <v>902</v>
      </c>
      <c r="K325" t="s">
        <v>903</v>
      </c>
      <c r="M325" t="s">
        <v>2991</v>
      </c>
      <c r="N325" t="s">
        <v>946</v>
      </c>
      <c r="O325" t="s">
        <v>2539</v>
      </c>
      <c r="P325" t="s">
        <v>31</v>
      </c>
      <c r="Q325" t="s">
        <v>938</v>
      </c>
      <c r="R325" t="s">
        <v>456</v>
      </c>
      <c r="S325">
        <v>117.18</v>
      </c>
      <c r="T325">
        <v>2</v>
      </c>
      <c r="U325">
        <v>0.25</v>
      </c>
      <c r="V325">
        <v>-17.220000000000002</v>
      </c>
      <c r="W325" s="3">
        <v>22.04</v>
      </c>
      <c r="X325" t="s">
        <v>931</v>
      </c>
    </row>
    <row r="326" spans="1:24" x14ac:dyDescent="0.25">
      <c r="A326">
        <v>20824</v>
      </c>
      <c r="B326" t="s">
        <v>1869</v>
      </c>
      <c r="C326" s="1">
        <v>42618</v>
      </c>
      <c r="D326" s="1">
        <v>42624</v>
      </c>
      <c r="E326" t="s">
        <v>19</v>
      </c>
      <c r="F326" t="s">
        <v>1009</v>
      </c>
      <c r="G326" t="s">
        <v>668</v>
      </c>
      <c r="H326" t="s">
        <v>20</v>
      </c>
      <c r="I326" t="s">
        <v>907</v>
      </c>
      <c r="J326" t="s">
        <v>902</v>
      </c>
      <c r="K326" t="s">
        <v>903</v>
      </c>
      <c r="M326" t="s">
        <v>2991</v>
      </c>
      <c r="N326" t="s">
        <v>946</v>
      </c>
      <c r="O326" t="s">
        <v>2499</v>
      </c>
      <c r="P326" t="s">
        <v>27</v>
      </c>
      <c r="Q326" t="s">
        <v>939</v>
      </c>
      <c r="R326" t="s">
        <v>350</v>
      </c>
      <c r="S326">
        <v>116.84249999999997</v>
      </c>
      <c r="T326">
        <v>3</v>
      </c>
      <c r="U326">
        <v>0.25</v>
      </c>
      <c r="V326">
        <v>-14.107499999999995</v>
      </c>
      <c r="W326" s="3">
        <v>10.5</v>
      </c>
      <c r="X326" t="s">
        <v>933</v>
      </c>
    </row>
    <row r="327" spans="1:24" x14ac:dyDescent="0.25">
      <c r="A327">
        <v>29759</v>
      </c>
      <c r="B327" t="s">
        <v>2394</v>
      </c>
      <c r="C327" s="1">
        <v>42162</v>
      </c>
      <c r="D327" s="1">
        <v>42167</v>
      </c>
      <c r="E327" t="s">
        <v>19</v>
      </c>
      <c r="F327" t="s">
        <v>1083</v>
      </c>
      <c r="G327" t="s">
        <v>233</v>
      </c>
      <c r="H327" t="s">
        <v>20</v>
      </c>
      <c r="I327" t="s">
        <v>906</v>
      </c>
      <c r="J327" t="s">
        <v>902</v>
      </c>
      <c r="K327" t="s">
        <v>903</v>
      </c>
      <c r="M327" t="s">
        <v>2991</v>
      </c>
      <c r="N327" t="s">
        <v>946</v>
      </c>
      <c r="O327" t="s">
        <v>2643</v>
      </c>
      <c r="P327" t="s">
        <v>22</v>
      </c>
      <c r="Q327" t="s">
        <v>935</v>
      </c>
      <c r="R327" t="s">
        <v>229</v>
      </c>
      <c r="S327">
        <v>116.39100000000001</v>
      </c>
      <c r="T327">
        <v>1</v>
      </c>
      <c r="U327">
        <v>0.45</v>
      </c>
      <c r="V327">
        <v>-84.668999999999997</v>
      </c>
      <c r="W327" s="3">
        <v>7.91</v>
      </c>
      <c r="X327" t="s">
        <v>933</v>
      </c>
    </row>
    <row r="328" spans="1:24" x14ac:dyDescent="0.25">
      <c r="A328">
        <v>27030</v>
      </c>
      <c r="B328" t="s">
        <v>2235</v>
      </c>
      <c r="C328" s="1">
        <v>42376</v>
      </c>
      <c r="D328" s="1">
        <v>42380</v>
      </c>
      <c r="E328" t="s">
        <v>19</v>
      </c>
      <c r="F328" t="s">
        <v>1128</v>
      </c>
      <c r="G328" t="s">
        <v>834</v>
      </c>
      <c r="H328" t="s">
        <v>20</v>
      </c>
      <c r="I328" t="s">
        <v>922</v>
      </c>
      <c r="J328" t="s">
        <v>923</v>
      </c>
      <c r="K328" t="s">
        <v>903</v>
      </c>
      <c r="M328" t="s">
        <v>2991</v>
      </c>
      <c r="N328" t="s">
        <v>946</v>
      </c>
      <c r="O328" t="s">
        <v>2683</v>
      </c>
      <c r="P328" t="s">
        <v>31</v>
      </c>
      <c r="Q328" t="s">
        <v>938</v>
      </c>
      <c r="R328" t="s">
        <v>426</v>
      </c>
      <c r="S328">
        <v>116.16750000000002</v>
      </c>
      <c r="T328">
        <v>3</v>
      </c>
      <c r="U328">
        <v>0.25</v>
      </c>
      <c r="V328">
        <v>35.6175</v>
      </c>
      <c r="W328" s="3">
        <v>10.44</v>
      </c>
      <c r="X328" t="s">
        <v>933</v>
      </c>
    </row>
    <row r="329" spans="1:24" x14ac:dyDescent="0.25">
      <c r="A329">
        <v>30051</v>
      </c>
      <c r="B329" t="s">
        <v>2416</v>
      </c>
      <c r="C329" s="1">
        <v>41488</v>
      </c>
      <c r="D329" s="1">
        <v>41494</v>
      </c>
      <c r="E329" t="s">
        <v>19</v>
      </c>
      <c r="F329" t="s">
        <v>1278</v>
      </c>
      <c r="G329" t="s">
        <v>344</v>
      </c>
      <c r="H329" t="s">
        <v>37</v>
      </c>
      <c r="I329" t="s">
        <v>906</v>
      </c>
      <c r="J329" t="s">
        <v>902</v>
      </c>
      <c r="K329" t="s">
        <v>903</v>
      </c>
      <c r="M329" t="s">
        <v>2991</v>
      </c>
      <c r="N329" t="s">
        <v>946</v>
      </c>
      <c r="O329" t="s">
        <v>2573</v>
      </c>
      <c r="P329" t="s">
        <v>31</v>
      </c>
      <c r="Q329" t="s">
        <v>945</v>
      </c>
      <c r="R329" t="s">
        <v>412</v>
      </c>
      <c r="S329">
        <v>116.07750000000001</v>
      </c>
      <c r="T329">
        <v>5</v>
      </c>
      <c r="U329">
        <v>0.45</v>
      </c>
      <c r="V329">
        <v>-65.572500000000019</v>
      </c>
      <c r="W329" s="3">
        <v>4.1900000000000004</v>
      </c>
      <c r="X329" t="s">
        <v>933</v>
      </c>
    </row>
    <row r="330" spans="1:24" x14ac:dyDescent="0.25">
      <c r="A330">
        <v>30259</v>
      </c>
      <c r="B330" t="s">
        <v>2431</v>
      </c>
      <c r="C330" s="1">
        <v>41775</v>
      </c>
      <c r="D330" s="1">
        <v>41780</v>
      </c>
      <c r="E330" t="s">
        <v>19</v>
      </c>
      <c r="F330" t="s">
        <v>1154</v>
      </c>
      <c r="G330" t="s">
        <v>155</v>
      </c>
      <c r="H330" t="s">
        <v>37</v>
      </c>
      <c r="I330" t="s">
        <v>906</v>
      </c>
      <c r="J330" t="s">
        <v>902</v>
      </c>
      <c r="K330" t="s">
        <v>903</v>
      </c>
      <c r="M330" t="s">
        <v>2991</v>
      </c>
      <c r="N330" t="s">
        <v>946</v>
      </c>
      <c r="O330" t="s">
        <v>2541</v>
      </c>
      <c r="P330" t="s">
        <v>22</v>
      </c>
      <c r="Q330" t="s">
        <v>940</v>
      </c>
      <c r="R330" t="s">
        <v>317</v>
      </c>
      <c r="S330">
        <v>114.345</v>
      </c>
      <c r="T330">
        <v>6</v>
      </c>
      <c r="U330">
        <v>0.45</v>
      </c>
      <c r="V330">
        <v>-43.694999999999993</v>
      </c>
      <c r="W330" s="3">
        <v>7.57</v>
      </c>
      <c r="X330" t="s">
        <v>933</v>
      </c>
    </row>
    <row r="331" spans="1:24" x14ac:dyDescent="0.25">
      <c r="A331">
        <v>26806</v>
      </c>
      <c r="B331" t="s">
        <v>2224</v>
      </c>
      <c r="C331" s="1">
        <v>41945</v>
      </c>
      <c r="D331" s="1">
        <v>41948</v>
      </c>
      <c r="E331" t="s">
        <v>47</v>
      </c>
      <c r="F331" t="s">
        <v>996</v>
      </c>
      <c r="G331" t="s">
        <v>545</v>
      </c>
      <c r="H331" t="s">
        <v>20</v>
      </c>
      <c r="I331" t="s">
        <v>906</v>
      </c>
      <c r="J331" t="s">
        <v>902</v>
      </c>
      <c r="K331" t="s">
        <v>903</v>
      </c>
      <c r="M331" t="s">
        <v>2991</v>
      </c>
      <c r="N331" t="s">
        <v>946</v>
      </c>
      <c r="O331" t="s">
        <v>1826</v>
      </c>
      <c r="P331" t="s">
        <v>22</v>
      </c>
      <c r="Q331" t="s">
        <v>935</v>
      </c>
      <c r="R331" t="s">
        <v>404</v>
      </c>
      <c r="S331">
        <v>114.03149999999999</v>
      </c>
      <c r="T331">
        <v>1</v>
      </c>
      <c r="U331">
        <v>0.45</v>
      </c>
      <c r="V331">
        <v>-4.1684999999999945</v>
      </c>
      <c r="W331" s="3">
        <v>4.34</v>
      </c>
      <c r="X331" t="s">
        <v>933</v>
      </c>
    </row>
    <row r="332" spans="1:24" x14ac:dyDescent="0.25">
      <c r="A332">
        <v>26728</v>
      </c>
      <c r="B332" t="s">
        <v>2217</v>
      </c>
      <c r="C332" s="1">
        <v>42032</v>
      </c>
      <c r="D332" s="1">
        <v>42034</v>
      </c>
      <c r="E332" t="s">
        <v>47</v>
      </c>
      <c r="F332" t="s">
        <v>1073</v>
      </c>
      <c r="G332" t="s">
        <v>444</v>
      </c>
      <c r="H332" t="s">
        <v>39</v>
      </c>
      <c r="I332" t="s">
        <v>906</v>
      </c>
      <c r="J332" t="s">
        <v>902</v>
      </c>
      <c r="K332" t="s">
        <v>903</v>
      </c>
      <c r="M332" t="s">
        <v>2991</v>
      </c>
      <c r="N332" t="s">
        <v>946</v>
      </c>
      <c r="O332" t="s">
        <v>2657</v>
      </c>
      <c r="P332" t="s">
        <v>31</v>
      </c>
      <c r="Q332" t="s">
        <v>945</v>
      </c>
      <c r="R332" t="s">
        <v>550</v>
      </c>
      <c r="S332">
        <v>113.94900000000001</v>
      </c>
      <c r="T332">
        <v>2</v>
      </c>
      <c r="U332">
        <v>0.45</v>
      </c>
      <c r="V332">
        <v>-49.731000000000009</v>
      </c>
      <c r="W332" s="3">
        <v>7.9</v>
      </c>
      <c r="X332" t="s">
        <v>931</v>
      </c>
    </row>
    <row r="333" spans="1:24" x14ac:dyDescent="0.25">
      <c r="A333">
        <v>26057</v>
      </c>
      <c r="B333" t="s">
        <v>2170</v>
      </c>
      <c r="C333" s="1">
        <v>42341</v>
      </c>
      <c r="D333" s="1">
        <v>42343</v>
      </c>
      <c r="E333" t="s">
        <v>47</v>
      </c>
      <c r="F333" t="s">
        <v>1147</v>
      </c>
      <c r="G333" t="s">
        <v>513</v>
      </c>
      <c r="H333" t="s">
        <v>39</v>
      </c>
      <c r="I333" t="s">
        <v>906</v>
      </c>
      <c r="J333" t="s">
        <v>902</v>
      </c>
      <c r="K333" t="s">
        <v>903</v>
      </c>
      <c r="M333" t="s">
        <v>2991</v>
      </c>
      <c r="N333" t="s">
        <v>946</v>
      </c>
      <c r="O333" t="s">
        <v>2531</v>
      </c>
      <c r="P333" t="s">
        <v>22</v>
      </c>
      <c r="Q333" t="s">
        <v>937</v>
      </c>
      <c r="R333" t="s">
        <v>787</v>
      </c>
      <c r="S333">
        <v>113.91600000000001</v>
      </c>
      <c r="T333">
        <v>4</v>
      </c>
      <c r="U333">
        <v>0.45</v>
      </c>
      <c r="V333">
        <v>-70.524000000000001</v>
      </c>
      <c r="W333" s="3">
        <v>15.92</v>
      </c>
      <c r="X333" t="s">
        <v>931</v>
      </c>
    </row>
    <row r="334" spans="1:24" x14ac:dyDescent="0.25">
      <c r="A334">
        <v>28148</v>
      </c>
      <c r="B334" t="s">
        <v>2309</v>
      </c>
      <c r="C334" s="1">
        <v>42250</v>
      </c>
      <c r="D334" s="1">
        <v>42255</v>
      </c>
      <c r="E334" t="s">
        <v>19</v>
      </c>
      <c r="F334" t="s">
        <v>1087</v>
      </c>
      <c r="G334" t="s">
        <v>357</v>
      </c>
      <c r="H334" t="s">
        <v>20</v>
      </c>
      <c r="I334" t="s">
        <v>901</v>
      </c>
      <c r="J334" t="s">
        <v>902</v>
      </c>
      <c r="K334" t="s">
        <v>903</v>
      </c>
      <c r="M334" t="s">
        <v>2991</v>
      </c>
      <c r="N334" t="s">
        <v>946</v>
      </c>
      <c r="O334" t="s">
        <v>2779</v>
      </c>
      <c r="P334" t="s">
        <v>27</v>
      </c>
      <c r="Q334" t="s">
        <v>936</v>
      </c>
      <c r="R334" t="s">
        <v>48</v>
      </c>
      <c r="S334">
        <v>113.19750000000001</v>
      </c>
      <c r="T334">
        <v>3</v>
      </c>
      <c r="U334">
        <v>0.25</v>
      </c>
      <c r="V334">
        <v>-27.202500000000001</v>
      </c>
      <c r="W334" s="3">
        <v>15.87</v>
      </c>
      <c r="X334" t="s">
        <v>931</v>
      </c>
    </row>
    <row r="335" spans="1:24" x14ac:dyDescent="0.25">
      <c r="A335">
        <v>22394</v>
      </c>
      <c r="B335" t="s">
        <v>1957</v>
      </c>
      <c r="C335" s="1">
        <v>42319</v>
      </c>
      <c r="D335" s="1">
        <v>42324</v>
      </c>
      <c r="E335" t="s">
        <v>43</v>
      </c>
      <c r="F335" t="s">
        <v>1372</v>
      </c>
      <c r="G335" t="s">
        <v>66</v>
      </c>
      <c r="H335" t="s">
        <v>20</v>
      </c>
      <c r="I335" t="s">
        <v>906</v>
      </c>
      <c r="J335" t="s">
        <v>902</v>
      </c>
      <c r="K335" t="s">
        <v>903</v>
      </c>
      <c r="M335" t="s">
        <v>2991</v>
      </c>
      <c r="N335" t="s">
        <v>946</v>
      </c>
      <c r="O335" t="s">
        <v>2832</v>
      </c>
      <c r="P335" t="s">
        <v>22</v>
      </c>
      <c r="Q335" t="s">
        <v>30</v>
      </c>
      <c r="R335" t="s">
        <v>75</v>
      </c>
      <c r="S335">
        <v>111.95250000000001</v>
      </c>
      <c r="T335">
        <v>5</v>
      </c>
      <c r="U335">
        <v>0.45</v>
      </c>
      <c r="V335">
        <v>-12.247500000000002</v>
      </c>
      <c r="W335" s="3">
        <v>10.3</v>
      </c>
      <c r="X335" t="s">
        <v>933</v>
      </c>
    </row>
    <row r="336" spans="1:24" x14ac:dyDescent="0.25">
      <c r="A336">
        <v>29279</v>
      </c>
      <c r="B336" t="s">
        <v>2370</v>
      </c>
      <c r="C336" s="1">
        <v>42621</v>
      </c>
      <c r="D336" s="1">
        <v>42624</v>
      </c>
      <c r="E336" t="s">
        <v>47</v>
      </c>
      <c r="F336" t="s">
        <v>963</v>
      </c>
      <c r="G336" t="s">
        <v>163</v>
      </c>
      <c r="H336" t="s">
        <v>20</v>
      </c>
      <c r="I336" t="s">
        <v>906</v>
      </c>
      <c r="J336" t="s">
        <v>902</v>
      </c>
      <c r="K336" t="s">
        <v>903</v>
      </c>
      <c r="M336" t="s">
        <v>2991</v>
      </c>
      <c r="N336" t="s">
        <v>946</v>
      </c>
      <c r="O336" t="s">
        <v>2895</v>
      </c>
      <c r="P336" t="s">
        <v>22</v>
      </c>
      <c r="Q336" t="s">
        <v>937</v>
      </c>
      <c r="R336" t="s">
        <v>490</v>
      </c>
      <c r="S336">
        <v>111.73800000000001</v>
      </c>
      <c r="T336">
        <v>4</v>
      </c>
      <c r="U336">
        <v>0.45</v>
      </c>
      <c r="V336">
        <v>-30.581999999999994</v>
      </c>
      <c r="W336" s="3">
        <v>14.29</v>
      </c>
      <c r="X336" t="s">
        <v>933</v>
      </c>
    </row>
    <row r="337" spans="1:24" x14ac:dyDescent="0.25">
      <c r="A337">
        <v>23027</v>
      </c>
      <c r="B337" t="s">
        <v>1997</v>
      </c>
      <c r="C337" s="1">
        <v>41439</v>
      </c>
      <c r="D337" s="1">
        <v>41444</v>
      </c>
      <c r="E337" t="s">
        <v>19</v>
      </c>
      <c r="F337" t="s">
        <v>1328</v>
      </c>
      <c r="G337" t="s">
        <v>590</v>
      </c>
      <c r="H337" t="s">
        <v>20</v>
      </c>
      <c r="I337" t="s">
        <v>906</v>
      </c>
      <c r="J337" t="s">
        <v>902</v>
      </c>
      <c r="K337" t="s">
        <v>903</v>
      </c>
      <c r="M337" t="s">
        <v>2991</v>
      </c>
      <c r="N337" t="s">
        <v>946</v>
      </c>
      <c r="O337" t="s">
        <v>2837</v>
      </c>
      <c r="P337" t="s">
        <v>31</v>
      </c>
      <c r="Q337" t="s">
        <v>945</v>
      </c>
      <c r="R337" t="s">
        <v>44</v>
      </c>
      <c r="S337">
        <v>111.375</v>
      </c>
      <c r="T337">
        <v>5</v>
      </c>
      <c r="U337">
        <v>0.45</v>
      </c>
      <c r="V337">
        <v>-42.524999999999984</v>
      </c>
      <c r="W337" s="3">
        <v>8.74</v>
      </c>
      <c r="X337" t="s">
        <v>933</v>
      </c>
    </row>
    <row r="338" spans="1:24" x14ac:dyDescent="0.25">
      <c r="A338">
        <v>25692</v>
      </c>
      <c r="B338" t="s">
        <v>2152</v>
      </c>
      <c r="C338" s="1">
        <v>41895</v>
      </c>
      <c r="D338" s="1">
        <v>41900</v>
      </c>
      <c r="E338" t="s">
        <v>19</v>
      </c>
      <c r="F338" t="s">
        <v>1342</v>
      </c>
      <c r="G338" t="s">
        <v>322</v>
      </c>
      <c r="H338" t="s">
        <v>37</v>
      </c>
      <c r="I338" t="s">
        <v>901</v>
      </c>
      <c r="J338" t="s">
        <v>902</v>
      </c>
      <c r="K338" t="s">
        <v>903</v>
      </c>
      <c r="M338" t="s">
        <v>2991</v>
      </c>
      <c r="N338" t="s">
        <v>946</v>
      </c>
      <c r="O338" t="s">
        <v>2971</v>
      </c>
      <c r="P338" t="s">
        <v>22</v>
      </c>
      <c r="Q338" t="s">
        <v>50</v>
      </c>
      <c r="R338" t="s">
        <v>723</v>
      </c>
      <c r="S338">
        <v>110.6955</v>
      </c>
      <c r="T338">
        <v>3</v>
      </c>
      <c r="U338">
        <v>0.15000000000000002</v>
      </c>
      <c r="V338">
        <v>12.955500000000001</v>
      </c>
      <c r="W338" s="3">
        <v>6.9</v>
      </c>
      <c r="X338" t="s">
        <v>933</v>
      </c>
    </row>
    <row r="339" spans="1:24" x14ac:dyDescent="0.25">
      <c r="A339">
        <v>27473</v>
      </c>
      <c r="B339" t="s">
        <v>2274</v>
      </c>
      <c r="C339" s="1">
        <v>42535</v>
      </c>
      <c r="D339" s="1">
        <v>42540</v>
      </c>
      <c r="E339" t="s">
        <v>19</v>
      </c>
      <c r="F339" t="s">
        <v>1508</v>
      </c>
      <c r="G339" t="s">
        <v>630</v>
      </c>
      <c r="H339" t="s">
        <v>20</v>
      </c>
      <c r="I339" t="s">
        <v>901</v>
      </c>
      <c r="J339" t="s">
        <v>902</v>
      </c>
      <c r="K339" t="s">
        <v>903</v>
      </c>
      <c r="M339" t="s">
        <v>2991</v>
      </c>
      <c r="N339" t="s">
        <v>946</v>
      </c>
      <c r="O339" t="s">
        <v>2818</v>
      </c>
      <c r="P339" t="s">
        <v>27</v>
      </c>
      <c r="Q339" t="s">
        <v>939</v>
      </c>
      <c r="R339" t="s">
        <v>511</v>
      </c>
      <c r="S339">
        <v>108.00000000000003</v>
      </c>
      <c r="T339">
        <v>2</v>
      </c>
      <c r="U339">
        <v>0.25</v>
      </c>
      <c r="V339">
        <v>31.679999999999986</v>
      </c>
      <c r="W339" s="3">
        <v>10.16</v>
      </c>
      <c r="X339" t="s">
        <v>931</v>
      </c>
    </row>
    <row r="340" spans="1:24" x14ac:dyDescent="0.25">
      <c r="A340">
        <v>28752</v>
      </c>
      <c r="B340" t="s">
        <v>2341</v>
      </c>
      <c r="C340" s="1">
        <v>42688</v>
      </c>
      <c r="D340" s="1">
        <v>42694</v>
      </c>
      <c r="E340" t="s">
        <v>19</v>
      </c>
      <c r="F340" t="s">
        <v>1100</v>
      </c>
      <c r="G340" t="s">
        <v>799</v>
      </c>
      <c r="H340" t="s">
        <v>39</v>
      </c>
      <c r="I340" t="s">
        <v>906</v>
      </c>
      <c r="J340" t="s">
        <v>902</v>
      </c>
      <c r="K340" t="s">
        <v>903</v>
      </c>
      <c r="M340" t="s">
        <v>2991</v>
      </c>
      <c r="N340" t="s">
        <v>946</v>
      </c>
      <c r="O340" t="s">
        <v>2550</v>
      </c>
      <c r="P340" t="s">
        <v>22</v>
      </c>
      <c r="Q340" t="s">
        <v>30</v>
      </c>
      <c r="R340" t="s">
        <v>808</v>
      </c>
      <c r="S340">
        <v>107.44800000000002</v>
      </c>
      <c r="T340">
        <v>4</v>
      </c>
      <c r="U340">
        <v>0.45</v>
      </c>
      <c r="V340">
        <v>-33.312000000000012</v>
      </c>
      <c r="W340" s="3">
        <v>7.11</v>
      </c>
      <c r="X340" t="s">
        <v>933</v>
      </c>
    </row>
    <row r="341" spans="1:24" x14ac:dyDescent="0.25">
      <c r="A341">
        <v>25225</v>
      </c>
      <c r="B341" t="s">
        <v>2121</v>
      </c>
      <c r="C341" s="1">
        <v>42337</v>
      </c>
      <c r="D341" s="1">
        <v>42339</v>
      </c>
      <c r="E341" t="s">
        <v>47</v>
      </c>
      <c r="F341" t="s">
        <v>1169</v>
      </c>
      <c r="G341" t="s">
        <v>361</v>
      </c>
      <c r="H341" t="s">
        <v>20</v>
      </c>
      <c r="I341" t="s">
        <v>910</v>
      </c>
      <c r="J341" t="s">
        <v>902</v>
      </c>
      <c r="K341" t="s">
        <v>903</v>
      </c>
      <c r="M341" t="s">
        <v>2991</v>
      </c>
      <c r="N341" t="s">
        <v>946</v>
      </c>
      <c r="O341" t="s">
        <v>2876</v>
      </c>
      <c r="P341" t="s">
        <v>27</v>
      </c>
      <c r="Q341" t="s">
        <v>939</v>
      </c>
      <c r="R341" t="s">
        <v>491</v>
      </c>
      <c r="S341">
        <v>106.64999999999999</v>
      </c>
      <c r="T341">
        <v>3</v>
      </c>
      <c r="U341">
        <v>0.25</v>
      </c>
      <c r="V341">
        <v>-1.4399999999999977</v>
      </c>
      <c r="W341" s="3">
        <v>15.02</v>
      </c>
      <c r="X341" t="s">
        <v>931</v>
      </c>
    </row>
    <row r="342" spans="1:24" x14ac:dyDescent="0.25">
      <c r="A342">
        <v>21889</v>
      </c>
      <c r="B342" t="s">
        <v>1927</v>
      </c>
      <c r="C342" s="1">
        <v>41910</v>
      </c>
      <c r="D342" s="1">
        <v>41911</v>
      </c>
      <c r="E342" t="s">
        <v>47</v>
      </c>
      <c r="F342" t="s">
        <v>1282</v>
      </c>
      <c r="G342" t="s">
        <v>326</v>
      </c>
      <c r="H342" t="s">
        <v>37</v>
      </c>
      <c r="I342" t="s">
        <v>910</v>
      </c>
      <c r="J342" t="s">
        <v>902</v>
      </c>
      <c r="K342" t="s">
        <v>903</v>
      </c>
      <c r="M342" t="s">
        <v>2991</v>
      </c>
      <c r="N342" t="s">
        <v>946</v>
      </c>
      <c r="O342" t="s">
        <v>2784</v>
      </c>
      <c r="P342" t="s">
        <v>27</v>
      </c>
      <c r="Q342" t="s">
        <v>936</v>
      </c>
      <c r="R342" t="s">
        <v>801</v>
      </c>
      <c r="S342">
        <v>106.17749999999999</v>
      </c>
      <c r="T342">
        <v>3</v>
      </c>
      <c r="U342">
        <v>0.25</v>
      </c>
      <c r="V342">
        <v>16.987500000000004</v>
      </c>
      <c r="W342" s="3">
        <v>8.58</v>
      </c>
      <c r="X342" t="s">
        <v>931</v>
      </c>
    </row>
    <row r="343" spans="1:24" x14ac:dyDescent="0.25">
      <c r="A343">
        <v>23588</v>
      </c>
      <c r="B343" t="s">
        <v>2038</v>
      </c>
      <c r="C343" s="1">
        <v>42086</v>
      </c>
      <c r="D343" s="1">
        <v>42088</v>
      </c>
      <c r="E343" t="s">
        <v>47</v>
      </c>
      <c r="F343" t="s">
        <v>1171</v>
      </c>
      <c r="G343" t="s">
        <v>600</v>
      </c>
      <c r="H343" t="s">
        <v>20</v>
      </c>
      <c r="I343" t="s">
        <v>906</v>
      </c>
      <c r="J343" t="s">
        <v>902</v>
      </c>
      <c r="K343" t="s">
        <v>903</v>
      </c>
      <c r="M343" t="s">
        <v>2991</v>
      </c>
      <c r="N343" t="s">
        <v>946</v>
      </c>
      <c r="O343" t="s">
        <v>2638</v>
      </c>
      <c r="P343" t="s">
        <v>31</v>
      </c>
      <c r="Q343" t="s">
        <v>938</v>
      </c>
      <c r="R343" t="s">
        <v>610</v>
      </c>
      <c r="S343">
        <v>104.6925</v>
      </c>
      <c r="T343">
        <v>3</v>
      </c>
      <c r="U343">
        <v>0.25</v>
      </c>
      <c r="V343">
        <v>-5.6475000000000009</v>
      </c>
      <c r="W343" s="3">
        <v>15.93</v>
      </c>
      <c r="X343" t="s">
        <v>932</v>
      </c>
    </row>
    <row r="344" spans="1:24" x14ac:dyDescent="0.25">
      <c r="A344">
        <v>20546</v>
      </c>
      <c r="B344" t="s">
        <v>1853</v>
      </c>
      <c r="C344" s="1">
        <v>41809</v>
      </c>
      <c r="D344" s="1">
        <v>41814</v>
      </c>
      <c r="E344" t="s">
        <v>19</v>
      </c>
      <c r="F344" t="s">
        <v>1273</v>
      </c>
      <c r="G344" t="s">
        <v>230</v>
      </c>
      <c r="H344" t="s">
        <v>37</v>
      </c>
      <c r="I344" t="s">
        <v>906</v>
      </c>
      <c r="J344" t="s">
        <v>902</v>
      </c>
      <c r="K344" t="s">
        <v>903</v>
      </c>
      <c r="M344" t="s">
        <v>2991</v>
      </c>
      <c r="N344" t="s">
        <v>946</v>
      </c>
      <c r="O344" t="s">
        <v>2538</v>
      </c>
      <c r="P344" t="s">
        <v>31</v>
      </c>
      <c r="Q344" t="s">
        <v>944</v>
      </c>
      <c r="R344" t="s">
        <v>664</v>
      </c>
      <c r="S344">
        <v>103.85999999999999</v>
      </c>
      <c r="T344">
        <v>1</v>
      </c>
      <c r="U344">
        <v>0.25</v>
      </c>
      <c r="V344">
        <v>22.140000000000008</v>
      </c>
      <c r="W344" s="3">
        <v>12.93</v>
      </c>
      <c r="X344" t="s">
        <v>931</v>
      </c>
    </row>
    <row r="345" spans="1:24" x14ac:dyDescent="0.25">
      <c r="A345">
        <v>22449</v>
      </c>
      <c r="B345" t="s">
        <v>1960</v>
      </c>
      <c r="C345" s="1">
        <v>42131</v>
      </c>
      <c r="D345" s="1">
        <v>42133</v>
      </c>
      <c r="E345" t="s">
        <v>47</v>
      </c>
      <c r="F345" t="s">
        <v>1150</v>
      </c>
      <c r="G345" t="s">
        <v>662</v>
      </c>
      <c r="H345" t="s">
        <v>20</v>
      </c>
      <c r="I345" t="s">
        <v>916</v>
      </c>
      <c r="J345" t="s">
        <v>911</v>
      </c>
      <c r="K345" t="s">
        <v>903</v>
      </c>
      <c r="M345" t="s">
        <v>2991</v>
      </c>
      <c r="N345" t="s">
        <v>946</v>
      </c>
      <c r="O345" t="s">
        <v>2838</v>
      </c>
      <c r="P345" t="s">
        <v>22</v>
      </c>
      <c r="Q345" t="s">
        <v>940</v>
      </c>
      <c r="R345" t="s">
        <v>369</v>
      </c>
      <c r="S345">
        <v>103.37249999999999</v>
      </c>
      <c r="T345">
        <v>5</v>
      </c>
      <c r="U345">
        <v>0.45</v>
      </c>
      <c r="V345">
        <v>-28.327499999999986</v>
      </c>
      <c r="W345" s="3">
        <v>24.57</v>
      </c>
      <c r="X345" t="s">
        <v>932</v>
      </c>
    </row>
    <row r="346" spans="1:24" x14ac:dyDescent="0.25">
      <c r="A346">
        <v>26769</v>
      </c>
      <c r="B346" t="s">
        <v>2221</v>
      </c>
      <c r="C346" s="1">
        <v>42595</v>
      </c>
      <c r="D346" s="1">
        <v>42600</v>
      </c>
      <c r="E346" t="s">
        <v>19</v>
      </c>
      <c r="F346" t="s">
        <v>1469</v>
      </c>
      <c r="G346" t="s">
        <v>59</v>
      </c>
      <c r="H346" t="s">
        <v>37</v>
      </c>
      <c r="I346" t="s">
        <v>906</v>
      </c>
      <c r="J346" t="s">
        <v>902</v>
      </c>
      <c r="K346" t="s">
        <v>903</v>
      </c>
      <c r="M346" t="s">
        <v>2991</v>
      </c>
      <c r="N346" t="s">
        <v>946</v>
      </c>
      <c r="O346" t="s">
        <v>2822</v>
      </c>
      <c r="P346" t="s">
        <v>22</v>
      </c>
      <c r="Q346" t="s">
        <v>30</v>
      </c>
      <c r="R346" t="s">
        <v>332</v>
      </c>
      <c r="S346">
        <v>103.22400000000002</v>
      </c>
      <c r="T346">
        <v>4</v>
      </c>
      <c r="U346">
        <v>0.45</v>
      </c>
      <c r="V346">
        <v>-47.016000000000005</v>
      </c>
      <c r="W346" s="3">
        <v>15.12</v>
      </c>
      <c r="X346" t="s">
        <v>931</v>
      </c>
    </row>
    <row r="347" spans="1:24" x14ac:dyDescent="0.25">
      <c r="A347">
        <v>27408</v>
      </c>
      <c r="B347" t="s">
        <v>2271</v>
      </c>
      <c r="C347" s="1">
        <v>41487</v>
      </c>
      <c r="D347" s="1">
        <v>41492</v>
      </c>
      <c r="E347" t="s">
        <v>19</v>
      </c>
      <c r="F347" t="s">
        <v>1202</v>
      </c>
      <c r="G347" t="s">
        <v>470</v>
      </c>
      <c r="H347" t="s">
        <v>20</v>
      </c>
      <c r="I347" t="s">
        <v>906</v>
      </c>
      <c r="J347" t="s">
        <v>902</v>
      </c>
      <c r="K347" t="s">
        <v>903</v>
      </c>
      <c r="M347" t="s">
        <v>2991</v>
      </c>
      <c r="N347" t="s">
        <v>946</v>
      </c>
      <c r="O347" t="s">
        <v>2706</v>
      </c>
      <c r="P347" t="s">
        <v>31</v>
      </c>
      <c r="Q347" t="s">
        <v>945</v>
      </c>
      <c r="R347" t="s">
        <v>315</v>
      </c>
      <c r="S347">
        <v>102.76200000000001</v>
      </c>
      <c r="T347">
        <v>4</v>
      </c>
      <c r="U347">
        <v>0.45</v>
      </c>
      <c r="V347">
        <v>1.8419999999999987</v>
      </c>
      <c r="W347" s="3">
        <v>7.42</v>
      </c>
      <c r="X347" t="s">
        <v>933</v>
      </c>
    </row>
    <row r="348" spans="1:24" x14ac:dyDescent="0.25">
      <c r="A348">
        <v>22513</v>
      </c>
      <c r="B348" t="s">
        <v>1966</v>
      </c>
      <c r="C348" s="1">
        <v>42727</v>
      </c>
      <c r="D348" s="1">
        <v>42731</v>
      </c>
      <c r="E348" t="s">
        <v>19</v>
      </c>
      <c r="F348" t="s">
        <v>1262</v>
      </c>
      <c r="G348" t="s">
        <v>139</v>
      </c>
      <c r="H348" t="s">
        <v>37</v>
      </c>
      <c r="I348" t="s">
        <v>906</v>
      </c>
      <c r="J348" t="s">
        <v>902</v>
      </c>
      <c r="K348" t="s">
        <v>903</v>
      </c>
      <c r="M348" t="s">
        <v>2991</v>
      </c>
      <c r="N348" t="s">
        <v>946</v>
      </c>
      <c r="O348" t="s">
        <v>2844</v>
      </c>
      <c r="P348" t="s">
        <v>22</v>
      </c>
      <c r="Q348" t="s">
        <v>942</v>
      </c>
      <c r="R348" t="s">
        <v>636</v>
      </c>
      <c r="S348">
        <v>102.357</v>
      </c>
      <c r="T348">
        <v>9</v>
      </c>
      <c r="U348">
        <v>0.15000000000000002</v>
      </c>
      <c r="V348">
        <v>34.856999999999999</v>
      </c>
      <c r="W348" s="3">
        <v>4.55</v>
      </c>
      <c r="X348" t="s">
        <v>933</v>
      </c>
    </row>
    <row r="349" spans="1:24" x14ac:dyDescent="0.25">
      <c r="A349">
        <v>25194</v>
      </c>
      <c r="B349" t="s">
        <v>2118</v>
      </c>
      <c r="C349" s="1">
        <v>42418</v>
      </c>
      <c r="D349" s="1">
        <v>42420</v>
      </c>
      <c r="E349" t="s">
        <v>47</v>
      </c>
      <c r="F349" t="s">
        <v>1115</v>
      </c>
      <c r="G349" t="s">
        <v>553</v>
      </c>
      <c r="H349" t="s">
        <v>20</v>
      </c>
      <c r="I349" t="s">
        <v>922</v>
      </c>
      <c r="J349" t="s">
        <v>923</v>
      </c>
      <c r="K349" t="s">
        <v>903</v>
      </c>
      <c r="M349" t="s">
        <v>2991</v>
      </c>
      <c r="N349" t="s">
        <v>946</v>
      </c>
      <c r="O349" t="s">
        <v>2957</v>
      </c>
      <c r="P349" t="s">
        <v>31</v>
      </c>
      <c r="Q349" t="s">
        <v>944</v>
      </c>
      <c r="R349" t="s">
        <v>482</v>
      </c>
      <c r="S349">
        <v>101.97</v>
      </c>
      <c r="T349">
        <v>2</v>
      </c>
      <c r="U349">
        <v>0.25</v>
      </c>
      <c r="V349">
        <v>13.589999999999996</v>
      </c>
      <c r="W349" s="3">
        <v>15.99</v>
      </c>
      <c r="X349" t="s">
        <v>931</v>
      </c>
    </row>
    <row r="350" spans="1:24" x14ac:dyDescent="0.25">
      <c r="A350">
        <v>26484</v>
      </c>
      <c r="B350" t="s">
        <v>2204</v>
      </c>
      <c r="C350" s="1">
        <v>42162</v>
      </c>
      <c r="D350" s="1">
        <v>42163</v>
      </c>
      <c r="E350" t="s">
        <v>47</v>
      </c>
      <c r="F350" t="s">
        <v>1204</v>
      </c>
      <c r="G350" t="s">
        <v>198</v>
      </c>
      <c r="H350" t="s">
        <v>39</v>
      </c>
      <c r="I350" t="s">
        <v>906</v>
      </c>
      <c r="J350" t="s">
        <v>902</v>
      </c>
      <c r="K350" t="s">
        <v>903</v>
      </c>
      <c r="M350" t="s">
        <v>2991</v>
      </c>
      <c r="N350" t="s">
        <v>946</v>
      </c>
      <c r="O350" t="s">
        <v>2808</v>
      </c>
      <c r="P350" t="s">
        <v>22</v>
      </c>
      <c r="Q350" t="s">
        <v>50</v>
      </c>
      <c r="R350" t="s">
        <v>838</v>
      </c>
      <c r="S350">
        <v>100.36799999999999</v>
      </c>
      <c r="T350">
        <v>3</v>
      </c>
      <c r="U350">
        <v>0.15000000000000002</v>
      </c>
      <c r="V350">
        <v>8.2079999999999984</v>
      </c>
      <c r="W350" s="3">
        <v>33.65</v>
      </c>
      <c r="X350" t="s">
        <v>932</v>
      </c>
    </row>
    <row r="351" spans="1:24" x14ac:dyDescent="0.25">
      <c r="A351">
        <v>23583</v>
      </c>
      <c r="B351" t="s">
        <v>2037</v>
      </c>
      <c r="C351" s="1">
        <v>41389</v>
      </c>
      <c r="D351" s="1">
        <v>41395</v>
      </c>
      <c r="E351" t="s">
        <v>19</v>
      </c>
      <c r="F351" t="s">
        <v>1179</v>
      </c>
      <c r="G351" t="s">
        <v>777</v>
      </c>
      <c r="H351" t="s">
        <v>20</v>
      </c>
      <c r="I351" t="s">
        <v>916</v>
      </c>
      <c r="J351" t="s">
        <v>911</v>
      </c>
      <c r="K351" t="s">
        <v>903</v>
      </c>
      <c r="M351" t="s">
        <v>2991</v>
      </c>
      <c r="N351" t="s">
        <v>946</v>
      </c>
      <c r="O351" t="s">
        <v>2911</v>
      </c>
      <c r="P351" t="s">
        <v>31</v>
      </c>
      <c r="Q351" t="s">
        <v>945</v>
      </c>
      <c r="R351" t="s">
        <v>689</v>
      </c>
      <c r="S351">
        <v>99.924000000000007</v>
      </c>
      <c r="T351">
        <v>4</v>
      </c>
      <c r="U351">
        <v>0.45</v>
      </c>
      <c r="V351">
        <v>-30.995999999999995</v>
      </c>
      <c r="W351" s="3">
        <v>5.27</v>
      </c>
      <c r="X351" t="s">
        <v>933</v>
      </c>
    </row>
    <row r="352" spans="1:24" x14ac:dyDescent="0.25">
      <c r="A352">
        <v>23549</v>
      </c>
      <c r="B352" t="s">
        <v>2033</v>
      </c>
      <c r="C352" s="1">
        <v>41874</v>
      </c>
      <c r="D352" s="1">
        <v>41877</v>
      </c>
      <c r="E352" t="s">
        <v>43</v>
      </c>
      <c r="F352" t="s">
        <v>1166</v>
      </c>
      <c r="G352" t="s">
        <v>102</v>
      </c>
      <c r="H352" t="s">
        <v>37</v>
      </c>
      <c r="I352" t="s">
        <v>906</v>
      </c>
      <c r="J352" t="s">
        <v>902</v>
      </c>
      <c r="K352" t="s">
        <v>903</v>
      </c>
      <c r="M352" t="s">
        <v>2991</v>
      </c>
      <c r="N352" t="s">
        <v>946</v>
      </c>
      <c r="O352" t="s">
        <v>2687</v>
      </c>
      <c r="P352" t="s">
        <v>22</v>
      </c>
      <c r="Q352" t="s">
        <v>69</v>
      </c>
      <c r="R352" t="s">
        <v>755</v>
      </c>
      <c r="S352">
        <v>99.396000000000001</v>
      </c>
      <c r="T352">
        <v>4</v>
      </c>
      <c r="U352">
        <v>0.45</v>
      </c>
      <c r="V352">
        <v>-41.603999999999999</v>
      </c>
      <c r="W352" s="3">
        <v>12.08</v>
      </c>
      <c r="X352" t="s">
        <v>931</v>
      </c>
    </row>
    <row r="353" spans="1:24" x14ac:dyDescent="0.25">
      <c r="A353">
        <v>28683</v>
      </c>
      <c r="B353" t="s">
        <v>2336</v>
      </c>
      <c r="C353" s="1">
        <v>42231</v>
      </c>
      <c r="D353" s="1">
        <v>42233</v>
      </c>
      <c r="E353" t="s">
        <v>43</v>
      </c>
      <c r="F353" t="s">
        <v>1154</v>
      </c>
      <c r="G353" t="s">
        <v>155</v>
      </c>
      <c r="H353" t="s">
        <v>37</v>
      </c>
      <c r="I353" t="s">
        <v>910</v>
      </c>
      <c r="J353" t="s">
        <v>902</v>
      </c>
      <c r="K353" t="s">
        <v>903</v>
      </c>
      <c r="M353" t="s">
        <v>2991</v>
      </c>
      <c r="N353" t="s">
        <v>946</v>
      </c>
      <c r="O353" t="s">
        <v>2676</v>
      </c>
      <c r="P353" t="s">
        <v>22</v>
      </c>
      <c r="Q353" t="s">
        <v>30</v>
      </c>
      <c r="R353" t="s">
        <v>624</v>
      </c>
      <c r="S353">
        <v>98.917500000000004</v>
      </c>
      <c r="T353">
        <v>5</v>
      </c>
      <c r="U353">
        <v>0.45</v>
      </c>
      <c r="V353">
        <v>-54.082499999999989</v>
      </c>
      <c r="W353" s="3">
        <v>9.3699999999999992</v>
      </c>
      <c r="X353" t="s">
        <v>933</v>
      </c>
    </row>
    <row r="354" spans="1:24" x14ac:dyDescent="0.25">
      <c r="A354">
        <v>26692</v>
      </c>
      <c r="B354" t="s">
        <v>2215</v>
      </c>
      <c r="C354" s="1">
        <v>42377</v>
      </c>
      <c r="D354" s="1">
        <v>42377</v>
      </c>
      <c r="E354" t="s">
        <v>58</v>
      </c>
      <c r="F354" t="s">
        <v>1045</v>
      </c>
      <c r="G354" t="s">
        <v>570</v>
      </c>
      <c r="H354" t="s">
        <v>20</v>
      </c>
      <c r="I354" t="s">
        <v>906</v>
      </c>
      <c r="J354" t="s">
        <v>902</v>
      </c>
      <c r="K354" t="s">
        <v>903</v>
      </c>
      <c r="M354" t="s">
        <v>2991</v>
      </c>
      <c r="N354" t="s">
        <v>946</v>
      </c>
      <c r="O354" t="s">
        <v>2788</v>
      </c>
      <c r="P354" t="s">
        <v>27</v>
      </c>
      <c r="Q354" t="s">
        <v>936</v>
      </c>
      <c r="R354" t="s">
        <v>612</v>
      </c>
      <c r="S354">
        <v>98.887500000000017</v>
      </c>
      <c r="T354">
        <v>3</v>
      </c>
      <c r="U354">
        <v>0.25</v>
      </c>
      <c r="V354">
        <v>-2.2500000000007958E-2</v>
      </c>
      <c r="W354" s="3">
        <v>18.809999999999999</v>
      </c>
      <c r="X354" t="s">
        <v>932</v>
      </c>
    </row>
    <row r="355" spans="1:24" x14ac:dyDescent="0.25">
      <c r="A355">
        <v>23761</v>
      </c>
      <c r="B355" t="s">
        <v>2045</v>
      </c>
      <c r="C355" s="1">
        <v>41288</v>
      </c>
      <c r="D355" s="1">
        <v>41295</v>
      </c>
      <c r="E355" t="s">
        <v>19</v>
      </c>
      <c r="F355" t="s">
        <v>1183</v>
      </c>
      <c r="G355" t="s">
        <v>459</v>
      </c>
      <c r="H355" t="s">
        <v>39</v>
      </c>
      <c r="I355" t="s">
        <v>906</v>
      </c>
      <c r="J355" t="s">
        <v>902</v>
      </c>
      <c r="K355" t="s">
        <v>903</v>
      </c>
      <c r="M355" t="s">
        <v>2991</v>
      </c>
      <c r="N355" t="s">
        <v>946</v>
      </c>
      <c r="O355" t="s">
        <v>2446</v>
      </c>
      <c r="P355" t="s">
        <v>27</v>
      </c>
      <c r="Q355" t="s">
        <v>936</v>
      </c>
      <c r="R355" t="s">
        <v>452</v>
      </c>
      <c r="S355">
        <v>98.752500000000012</v>
      </c>
      <c r="T355">
        <v>3</v>
      </c>
      <c r="U355">
        <v>0.25</v>
      </c>
      <c r="V355">
        <v>-23.737500000000004</v>
      </c>
      <c r="W355" s="3">
        <v>9.7100000000000009</v>
      </c>
      <c r="X355" t="s">
        <v>934</v>
      </c>
    </row>
    <row r="356" spans="1:24" x14ac:dyDescent="0.25">
      <c r="A356">
        <v>22514</v>
      </c>
      <c r="B356" t="s">
        <v>1966</v>
      </c>
      <c r="C356" s="1">
        <v>42727</v>
      </c>
      <c r="D356" s="1">
        <v>42731</v>
      </c>
      <c r="E356" t="s">
        <v>19</v>
      </c>
      <c r="F356" t="s">
        <v>1262</v>
      </c>
      <c r="G356" t="s">
        <v>139</v>
      </c>
      <c r="H356" t="s">
        <v>37</v>
      </c>
      <c r="I356" t="s">
        <v>906</v>
      </c>
      <c r="J356" t="s">
        <v>902</v>
      </c>
      <c r="K356" t="s">
        <v>903</v>
      </c>
      <c r="M356" t="s">
        <v>2991</v>
      </c>
      <c r="N356" t="s">
        <v>946</v>
      </c>
      <c r="O356" t="s">
        <v>2758</v>
      </c>
      <c r="P356" t="s">
        <v>22</v>
      </c>
      <c r="Q356" t="s">
        <v>30</v>
      </c>
      <c r="R356" t="s">
        <v>784</v>
      </c>
      <c r="S356">
        <v>97.713000000000008</v>
      </c>
      <c r="T356">
        <v>9</v>
      </c>
      <c r="U356">
        <v>0.45</v>
      </c>
      <c r="V356">
        <v>-60.507000000000005</v>
      </c>
      <c r="W356" s="3">
        <v>9.61</v>
      </c>
      <c r="X356" t="s">
        <v>933</v>
      </c>
    </row>
    <row r="357" spans="1:24" x14ac:dyDescent="0.25">
      <c r="A357">
        <v>20477</v>
      </c>
      <c r="B357" t="s">
        <v>1850</v>
      </c>
      <c r="C357" s="1">
        <v>41956</v>
      </c>
      <c r="D357" s="1">
        <v>41959</v>
      </c>
      <c r="E357" t="s">
        <v>47</v>
      </c>
      <c r="F357" t="s">
        <v>1436</v>
      </c>
      <c r="G357" t="s">
        <v>311</v>
      </c>
      <c r="H357" t="s">
        <v>39</v>
      </c>
      <c r="I357" t="s">
        <v>906</v>
      </c>
      <c r="J357" t="s">
        <v>902</v>
      </c>
      <c r="K357" t="s">
        <v>903</v>
      </c>
      <c r="M357" t="s">
        <v>2991</v>
      </c>
      <c r="N357" t="s">
        <v>946</v>
      </c>
      <c r="O357" t="s">
        <v>2514</v>
      </c>
      <c r="P357" t="s">
        <v>27</v>
      </c>
      <c r="Q357" t="s">
        <v>29</v>
      </c>
      <c r="R357" t="s">
        <v>735</v>
      </c>
      <c r="S357">
        <v>96.798000000000016</v>
      </c>
      <c r="T357">
        <v>1</v>
      </c>
      <c r="U357">
        <v>0.35</v>
      </c>
      <c r="V357">
        <v>-52.122</v>
      </c>
      <c r="W357" s="3">
        <v>11.21</v>
      </c>
      <c r="X357" t="s">
        <v>933</v>
      </c>
    </row>
    <row r="358" spans="1:24" x14ac:dyDescent="0.25">
      <c r="A358">
        <v>21677</v>
      </c>
      <c r="B358" t="s">
        <v>1912</v>
      </c>
      <c r="C358" s="1">
        <v>42299</v>
      </c>
      <c r="D358" s="1">
        <v>42305</v>
      </c>
      <c r="E358" t="s">
        <v>19</v>
      </c>
      <c r="F358" t="s">
        <v>978</v>
      </c>
      <c r="G358" t="s">
        <v>496</v>
      </c>
      <c r="H358" t="s">
        <v>37</v>
      </c>
      <c r="I358" t="s">
        <v>906</v>
      </c>
      <c r="J358" t="s">
        <v>902</v>
      </c>
      <c r="K358" t="s">
        <v>903</v>
      </c>
      <c r="M358" t="s">
        <v>2991</v>
      </c>
      <c r="N358" t="s">
        <v>946</v>
      </c>
      <c r="O358" t="s">
        <v>2554</v>
      </c>
      <c r="P358" t="s">
        <v>22</v>
      </c>
      <c r="Q358" t="s">
        <v>940</v>
      </c>
      <c r="R358" t="s">
        <v>45</v>
      </c>
      <c r="S358">
        <v>94.875</v>
      </c>
      <c r="T358">
        <v>5</v>
      </c>
      <c r="U358">
        <v>0.45</v>
      </c>
      <c r="V358">
        <v>-29.325000000000003</v>
      </c>
      <c r="W358" s="3">
        <v>10.81</v>
      </c>
      <c r="X358" t="s">
        <v>933</v>
      </c>
    </row>
    <row r="359" spans="1:24" x14ac:dyDescent="0.25">
      <c r="A359">
        <v>21819</v>
      </c>
      <c r="B359" t="s">
        <v>1921</v>
      </c>
      <c r="C359" s="1">
        <v>42642</v>
      </c>
      <c r="D359" s="1">
        <v>42645</v>
      </c>
      <c r="E359" t="s">
        <v>43</v>
      </c>
      <c r="F359" t="s">
        <v>1181</v>
      </c>
      <c r="G359" t="s">
        <v>299</v>
      </c>
      <c r="H359" t="s">
        <v>20</v>
      </c>
      <c r="I359" t="s">
        <v>907</v>
      </c>
      <c r="J359" t="s">
        <v>902</v>
      </c>
      <c r="K359" t="s">
        <v>903</v>
      </c>
      <c r="M359" t="s">
        <v>2991</v>
      </c>
      <c r="N359" t="s">
        <v>946</v>
      </c>
      <c r="O359" t="s">
        <v>2777</v>
      </c>
      <c r="P359" t="s">
        <v>27</v>
      </c>
      <c r="Q359" t="s">
        <v>936</v>
      </c>
      <c r="R359" t="s">
        <v>449</v>
      </c>
      <c r="S359">
        <v>94.500000000000014</v>
      </c>
      <c r="T359">
        <v>5</v>
      </c>
      <c r="U359">
        <v>0.25</v>
      </c>
      <c r="V359">
        <v>-21.450000000000003</v>
      </c>
      <c r="W359" s="3">
        <v>17.89</v>
      </c>
      <c r="X359" t="s">
        <v>931</v>
      </c>
    </row>
    <row r="360" spans="1:24" x14ac:dyDescent="0.25">
      <c r="A360">
        <v>27174</v>
      </c>
      <c r="B360" t="s">
        <v>2250</v>
      </c>
      <c r="C360" s="1">
        <v>41504</v>
      </c>
      <c r="D360" s="1">
        <v>41508</v>
      </c>
      <c r="E360" t="s">
        <v>19</v>
      </c>
      <c r="F360" t="s">
        <v>1278</v>
      </c>
      <c r="G360" t="s">
        <v>344</v>
      </c>
      <c r="H360" t="s">
        <v>37</v>
      </c>
      <c r="I360" t="s">
        <v>906</v>
      </c>
      <c r="J360" t="s">
        <v>902</v>
      </c>
      <c r="K360" t="s">
        <v>903</v>
      </c>
      <c r="M360" t="s">
        <v>2991</v>
      </c>
      <c r="N360" t="s">
        <v>946</v>
      </c>
      <c r="O360" t="s">
        <v>2765</v>
      </c>
      <c r="P360" t="s">
        <v>27</v>
      </c>
      <c r="Q360" t="s">
        <v>936</v>
      </c>
      <c r="R360" t="s">
        <v>403</v>
      </c>
      <c r="S360">
        <v>93.712500000000006</v>
      </c>
      <c r="T360">
        <v>5</v>
      </c>
      <c r="U360">
        <v>0.25</v>
      </c>
      <c r="V360">
        <v>-1.3875000000000064</v>
      </c>
      <c r="W360" s="3">
        <v>6.37</v>
      </c>
      <c r="X360" t="s">
        <v>933</v>
      </c>
    </row>
    <row r="361" spans="1:24" x14ac:dyDescent="0.25">
      <c r="A361">
        <v>21014</v>
      </c>
      <c r="B361" t="s">
        <v>1877</v>
      </c>
      <c r="C361" s="1">
        <v>41326</v>
      </c>
      <c r="D361" s="1">
        <v>41326</v>
      </c>
      <c r="E361" t="s">
        <v>58</v>
      </c>
      <c r="F361" t="s">
        <v>1049</v>
      </c>
      <c r="G361" t="s">
        <v>839</v>
      </c>
      <c r="H361" t="s">
        <v>20</v>
      </c>
      <c r="I361" t="s">
        <v>906</v>
      </c>
      <c r="J361" t="s">
        <v>902</v>
      </c>
      <c r="K361" t="s">
        <v>903</v>
      </c>
      <c r="M361" t="s">
        <v>2991</v>
      </c>
      <c r="N361" t="s">
        <v>946</v>
      </c>
      <c r="O361" t="s">
        <v>2648</v>
      </c>
      <c r="P361" t="s">
        <v>31</v>
      </c>
      <c r="Q361" t="s">
        <v>944</v>
      </c>
      <c r="R361" t="s">
        <v>730</v>
      </c>
      <c r="S361">
        <v>93.33</v>
      </c>
      <c r="T361">
        <v>1</v>
      </c>
      <c r="U361">
        <v>0.25</v>
      </c>
      <c r="V361">
        <v>-7.4699999999999989</v>
      </c>
      <c r="W361" s="3">
        <v>8.84</v>
      </c>
      <c r="X361" t="s">
        <v>931</v>
      </c>
    </row>
    <row r="362" spans="1:24" x14ac:dyDescent="0.25">
      <c r="A362">
        <v>27735</v>
      </c>
      <c r="B362" t="s">
        <v>2288</v>
      </c>
      <c r="C362" s="1">
        <v>41943</v>
      </c>
      <c r="D362" s="1">
        <v>41948</v>
      </c>
      <c r="E362" t="s">
        <v>19</v>
      </c>
      <c r="F362" t="s">
        <v>957</v>
      </c>
      <c r="G362" t="s">
        <v>648</v>
      </c>
      <c r="H362" t="s">
        <v>20</v>
      </c>
      <c r="I362" t="s">
        <v>906</v>
      </c>
      <c r="J362" t="s">
        <v>902</v>
      </c>
      <c r="K362" t="s">
        <v>903</v>
      </c>
      <c r="M362" t="s">
        <v>2991</v>
      </c>
      <c r="N362" t="s">
        <v>946</v>
      </c>
      <c r="O362" t="s">
        <v>2696</v>
      </c>
      <c r="P362" t="s">
        <v>27</v>
      </c>
      <c r="Q362" t="s">
        <v>936</v>
      </c>
      <c r="R362" t="s">
        <v>559</v>
      </c>
      <c r="S362">
        <v>92.205000000000013</v>
      </c>
      <c r="T362">
        <v>3</v>
      </c>
      <c r="U362">
        <v>0.25</v>
      </c>
      <c r="V362">
        <v>19.664999999999988</v>
      </c>
      <c r="W362" s="3">
        <v>5.25</v>
      </c>
      <c r="X362" t="s">
        <v>933</v>
      </c>
    </row>
    <row r="363" spans="1:24" x14ac:dyDescent="0.25">
      <c r="A363">
        <v>21450</v>
      </c>
      <c r="B363" t="s">
        <v>1902</v>
      </c>
      <c r="C363" s="1">
        <v>41951</v>
      </c>
      <c r="D363" s="1">
        <v>41956</v>
      </c>
      <c r="E363" t="s">
        <v>19</v>
      </c>
      <c r="F363" t="s">
        <v>1248</v>
      </c>
      <c r="G363" t="s">
        <v>527</v>
      </c>
      <c r="H363" t="s">
        <v>39</v>
      </c>
      <c r="I363" t="s">
        <v>901</v>
      </c>
      <c r="J363" t="s">
        <v>902</v>
      </c>
      <c r="K363" t="s">
        <v>903</v>
      </c>
      <c r="M363" t="s">
        <v>2991</v>
      </c>
      <c r="N363" t="s">
        <v>946</v>
      </c>
      <c r="O363" t="s">
        <v>2722</v>
      </c>
      <c r="P363" t="s">
        <v>31</v>
      </c>
      <c r="Q363" t="s">
        <v>938</v>
      </c>
      <c r="R363" t="s">
        <v>341</v>
      </c>
      <c r="S363">
        <v>92.182500000000005</v>
      </c>
      <c r="T363">
        <v>1</v>
      </c>
      <c r="U363">
        <v>0.25</v>
      </c>
      <c r="V363">
        <v>13.4925</v>
      </c>
      <c r="W363" s="3">
        <v>5.23</v>
      </c>
      <c r="X363" t="s">
        <v>933</v>
      </c>
    </row>
    <row r="364" spans="1:24" x14ac:dyDescent="0.25">
      <c r="A364">
        <v>29831</v>
      </c>
      <c r="B364" t="s">
        <v>2400</v>
      </c>
      <c r="C364" s="1">
        <v>42433</v>
      </c>
      <c r="D364" s="1">
        <v>42439</v>
      </c>
      <c r="E364" t="s">
        <v>19</v>
      </c>
      <c r="F364" t="s">
        <v>1053</v>
      </c>
      <c r="G364" t="s">
        <v>451</v>
      </c>
      <c r="H364" t="s">
        <v>20</v>
      </c>
      <c r="I364" t="s">
        <v>906</v>
      </c>
      <c r="J364" t="s">
        <v>902</v>
      </c>
      <c r="K364" t="s">
        <v>903</v>
      </c>
      <c r="M364" t="s">
        <v>2991</v>
      </c>
      <c r="N364" t="s">
        <v>946</v>
      </c>
      <c r="O364" t="s">
        <v>2646</v>
      </c>
      <c r="P364" t="s">
        <v>22</v>
      </c>
      <c r="Q364" t="s">
        <v>935</v>
      </c>
      <c r="R364" t="s">
        <v>370</v>
      </c>
      <c r="S364">
        <v>90.981000000000009</v>
      </c>
      <c r="T364">
        <v>3</v>
      </c>
      <c r="U364">
        <v>0.45</v>
      </c>
      <c r="V364">
        <v>-23.229000000000006</v>
      </c>
      <c r="W364" s="3">
        <v>18.23</v>
      </c>
      <c r="X364" t="s">
        <v>934</v>
      </c>
    </row>
    <row r="365" spans="1:24" x14ac:dyDescent="0.25">
      <c r="A365">
        <v>22739</v>
      </c>
      <c r="B365" t="s">
        <v>1982</v>
      </c>
      <c r="C365" s="1">
        <v>41390</v>
      </c>
      <c r="D365" s="1">
        <v>41391</v>
      </c>
      <c r="E365" t="s">
        <v>47</v>
      </c>
      <c r="F365" t="s">
        <v>1372</v>
      </c>
      <c r="G365" t="s">
        <v>66</v>
      </c>
      <c r="H365" t="s">
        <v>20</v>
      </c>
      <c r="I365" t="s">
        <v>905</v>
      </c>
      <c r="J365" t="s">
        <v>902</v>
      </c>
      <c r="K365" t="s">
        <v>903</v>
      </c>
      <c r="M365" t="s">
        <v>2991</v>
      </c>
      <c r="N365" t="s">
        <v>946</v>
      </c>
      <c r="O365" t="s">
        <v>2864</v>
      </c>
      <c r="P365" t="s">
        <v>31</v>
      </c>
      <c r="Q365" t="s">
        <v>945</v>
      </c>
      <c r="R365" t="s">
        <v>525</v>
      </c>
      <c r="S365">
        <v>90.024000000000001</v>
      </c>
      <c r="T365">
        <v>4</v>
      </c>
      <c r="U365">
        <v>0.45</v>
      </c>
      <c r="V365">
        <v>-18.095999999999989</v>
      </c>
      <c r="W365" s="3">
        <v>13.55</v>
      </c>
      <c r="X365" t="s">
        <v>931</v>
      </c>
    </row>
    <row r="366" spans="1:24" x14ac:dyDescent="0.25">
      <c r="A366">
        <v>23178</v>
      </c>
      <c r="B366" t="s">
        <v>2012</v>
      </c>
      <c r="C366" s="1">
        <v>42404</v>
      </c>
      <c r="D366" s="1">
        <v>42407</v>
      </c>
      <c r="E366" t="s">
        <v>47</v>
      </c>
      <c r="F366" t="s">
        <v>1364</v>
      </c>
      <c r="G366" t="s">
        <v>186</v>
      </c>
      <c r="H366" t="s">
        <v>39</v>
      </c>
      <c r="I366" t="s">
        <v>906</v>
      </c>
      <c r="J366" t="s">
        <v>902</v>
      </c>
      <c r="K366" t="s">
        <v>903</v>
      </c>
      <c r="M366" t="s">
        <v>2991</v>
      </c>
      <c r="N366" t="s">
        <v>946</v>
      </c>
      <c r="O366" t="s">
        <v>2518</v>
      </c>
      <c r="P366" t="s">
        <v>31</v>
      </c>
      <c r="Q366" t="s">
        <v>945</v>
      </c>
      <c r="R366" t="s">
        <v>499</v>
      </c>
      <c r="S366">
        <v>89.39700000000002</v>
      </c>
      <c r="T366">
        <v>6</v>
      </c>
      <c r="U366">
        <v>0.45</v>
      </c>
      <c r="V366">
        <v>-71.52300000000001</v>
      </c>
      <c r="W366" s="3">
        <v>1.78</v>
      </c>
      <c r="X366" t="s">
        <v>933</v>
      </c>
    </row>
    <row r="367" spans="1:24" x14ac:dyDescent="0.25">
      <c r="A367">
        <v>20478</v>
      </c>
      <c r="B367" t="s">
        <v>1850</v>
      </c>
      <c r="C367" s="1">
        <v>41956</v>
      </c>
      <c r="D367" s="1">
        <v>41959</v>
      </c>
      <c r="E367" t="s">
        <v>47</v>
      </c>
      <c r="F367" t="s">
        <v>1436</v>
      </c>
      <c r="G367" t="s">
        <v>311</v>
      </c>
      <c r="H367" t="s">
        <v>39</v>
      </c>
      <c r="I367" t="s">
        <v>906</v>
      </c>
      <c r="J367" t="s">
        <v>902</v>
      </c>
      <c r="K367" t="s">
        <v>903</v>
      </c>
      <c r="M367" t="s">
        <v>2991</v>
      </c>
      <c r="N367" t="s">
        <v>946</v>
      </c>
      <c r="O367" t="s">
        <v>2515</v>
      </c>
      <c r="P367" t="s">
        <v>27</v>
      </c>
      <c r="Q367" t="s">
        <v>939</v>
      </c>
      <c r="R367" t="s">
        <v>351</v>
      </c>
      <c r="S367">
        <v>88.784999999999997</v>
      </c>
      <c r="T367">
        <v>2</v>
      </c>
      <c r="U367">
        <v>0.25</v>
      </c>
      <c r="V367">
        <v>28.365000000000002</v>
      </c>
      <c r="W367" s="3">
        <v>7.66</v>
      </c>
      <c r="X367" t="s">
        <v>933</v>
      </c>
    </row>
    <row r="368" spans="1:24" x14ac:dyDescent="0.25">
      <c r="A368">
        <v>23415</v>
      </c>
      <c r="B368" t="s">
        <v>2023</v>
      </c>
      <c r="C368" s="1">
        <v>42414</v>
      </c>
      <c r="D368" s="1">
        <v>42419</v>
      </c>
      <c r="E368" t="s">
        <v>19</v>
      </c>
      <c r="F368" t="s">
        <v>1173</v>
      </c>
      <c r="G368" t="s">
        <v>90</v>
      </c>
      <c r="H368" t="s">
        <v>20</v>
      </c>
      <c r="I368" t="s">
        <v>906</v>
      </c>
      <c r="J368" t="s">
        <v>902</v>
      </c>
      <c r="K368" t="s">
        <v>903</v>
      </c>
      <c r="M368" t="s">
        <v>2991</v>
      </c>
      <c r="N368" t="s">
        <v>946</v>
      </c>
      <c r="O368" t="s">
        <v>2475</v>
      </c>
      <c r="P368" t="s">
        <v>22</v>
      </c>
      <c r="Q368" t="s">
        <v>937</v>
      </c>
      <c r="R368" t="s">
        <v>781</v>
      </c>
      <c r="S368">
        <v>87.912000000000006</v>
      </c>
      <c r="T368">
        <v>6</v>
      </c>
      <c r="U368">
        <v>0.45</v>
      </c>
      <c r="V368">
        <v>-60.768000000000015</v>
      </c>
      <c r="W368" s="3">
        <v>4.55</v>
      </c>
      <c r="X368" t="s">
        <v>933</v>
      </c>
    </row>
    <row r="369" spans="1:24" x14ac:dyDescent="0.25">
      <c r="A369">
        <v>28181</v>
      </c>
      <c r="B369" t="s">
        <v>2312</v>
      </c>
      <c r="C369" s="1">
        <v>41631</v>
      </c>
      <c r="D369" s="1">
        <v>41635</v>
      </c>
      <c r="E369" t="s">
        <v>19</v>
      </c>
      <c r="F369" t="s">
        <v>1241</v>
      </c>
      <c r="G369" t="s">
        <v>178</v>
      </c>
      <c r="H369" t="s">
        <v>20</v>
      </c>
      <c r="I369" t="s">
        <v>906</v>
      </c>
      <c r="J369" t="s">
        <v>902</v>
      </c>
      <c r="K369" t="s">
        <v>903</v>
      </c>
      <c r="M369" t="s">
        <v>2991</v>
      </c>
      <c r="N369" t="s">
        <v>946</v>
      </c>
      <c r="O369" t="s">
        <v>2757</v>
      </c>
      <c r="P369" t="s">
        <v>31</v>
      </c>
      <c r="Q369" t="s">
        <v>945</v>
      </c>
      <c r="R369" t="s">
        <v>182</v>
      </c>
      <c r="S369">
        <v>87.582000000000008</v>
      </c>
      <c r="T369">
        <v>4</v>
      </c>
      <c r="U369">
        <v>0.45</v>
      </c>
      <c r="V369">
        <v>-68.537999999999997</v>
      </c>
      <c r="W369" s="3">
        <v>9.1</v>
      </c>
      <c r="X369" t="s">
        <v>933</v>
      </c>
    </row>
    <row r="370" spans="1:24" x14ac:dyDescent="0.25">
      <c r="A370">
        <v>21056</v>
      </c>
      <c r="B370" t="s">
        <v>1878</v>
      </c>
      <c r="C370" s="1">
        <v>42363</v>
      </c>
      <c r="D370" s="1">
        <v>42367</v>
      </c>
      <c r="E370" t="s">
        <v>19</v>
      </c>
      <c r="F370" t="s">
        <v>976</v>
      </c>
      <c r="G370" t="s">
        <v>523</v>
      </c>
      <c r="H370" t="s">
        <v>20</v>
      </c>
      <c r="I370" t="s">
        <v>906</v>
      </c>
      <c r="J370" t="s">
        <v>902</v>
      </c>
      <c r="K370" t="s">
        <v>903</v>
      </c>
      <c r="M370" t="s">
        <v>2991</v>
      </c>
      <c r="N370" t="s">
        <v>946</v>
      </c>
      <c r="O370" t="s">
        <v>2659</v>
      </c>
      <c r="P370" t="s">
        <v>27</v>
      </c>
      <c r="Q370" t="s">
        <v>936</v>
      </c>
      <c r="R370" t="s">
        <v>478</v>
      </c>
      <c r="S370">
        <v>85.59</v>
      </c>
      <c r="T370">
        <v>4</v>
      </c>
      <c r="U370">
        <v>0.25</v>
      </c>
      <c r="V370">
        <v>2.1899999999999977</v>
      </c>
      <c r="W370" s="3">
        <v>2.27</v>
      </c>
      <c r="X370" t="s">
        <v>933</v>
      </c>
    </row>
    <row r="371" spans="1:24" x14ac:dyDescent="0.25">
      <c r="A371">
        <v>24275</v>
      </c>
      <c r="B371" t="s">
        <v>2071</v>
      </c>
      <c r="C371" s="1">
        <v>42708</v>
      </c>
      <c r="D371" s="1">
        <v>42713</v>
      </c>
      <c r="E371" t="s">
        <v>19</v>
      </c>
      <c r="F371" t="s">
        <v>1360</v>
      </c>
      <c r="G371" t="s">
        <v>218</v>
      </c>
      <c r="H371" t="s">
        <v>20</v>
      </c>
      <c r="I371" t="s">
        <v>906</v>
      </c>
      <c r="J371" t="s">
        <v>902</v>
      </c>
      <c r="K371" t="s">
        <v>903</v>
      </c>
      <c r="M371" t="s">
        <v>2991</v>
      </c>
      <c r="N371" t="s">
        <v>946</v>
      </c>
      <c r="O371" t="s">
        <v>2921</v>
      </c>
      <c r="P371" t="s">
        <v>22</v>
      </c>
      <c r="Q371" t="s">
        <v>937</v>
      </c>
      <c r="R371" t="s">
        <v>477</v>
      </c>
      <c r="S371">
        <v>85.536000000000016</v>
      </c>
      <c r="T371">
        <v>3</v>
      </c>
      <c r="U371">
        <v>0.45</v>
      </c>
      <c r="V371">
        <v>1.4759999999999991</v>
      </c>
      <c r="W371" s="3">
        <v>3.5</v>
      </c>
      <c r="X371" t="s">
        <v>933</v>
      </c>
    </row>
    <row r="372" spans="1:24" x14ac:dyDescent="0.25">
      <c r="A372">
        <v>22557</v>
      </c>
      <c r="B372" t="s">
        <v>1969</v>
      </c>
      <c r="C372" s="1">
        <v>42585</v>
      </c>
      <c r="D372" s="1">
        <v>42589</v>
      </c>
      <c r="E372" t="s">
        <v>19</v>
      </c>
      <c r="F372" t="s">
        <v>1191</v>
      </c>
      <c r="G372" t="s">
        <v>339</v>
      </c>
      <c r="H372" t="s">
        <v>39</v>
      </c>
      <c r="I372" t="s">
        <v>906</v>
      </c>
      <c r="J372" t="s">
        <v>902</v>
      </c>
      <c r="K372" t="s">
        <v>903</v>
      </c>
      <c r="M372" t="s">
        <v>2991</v>
      </c>
      <c r="N372" t="s">
        <v>946</v>
      </c>
      <c r="O372" t="s">
        <v>2850</v>
      </c>
      <c r="P372" t="s">
        <v>22</v>
      </c>
      <c r="Q372" t="s">
        <v>940</v>
      </c>
      <c r="R372" t="s">
        <v>115</v>
      </c>
      <c r="S372">
        <v>85.040999999999997</v>
      </c>
      <c r="T372">
        <v>3</v>
      </c>
      <c r="U372">
        <v>0.45</v>
      </c>
      <c r="V372">
        <v>-54.189000000000007</v>
      </c>
      <c r="W372" s="3">
        <v>4.07</v>
      </c>
      <c r="X372" t="s">
        <v>933</v>
      </c>
    </row>
    <row r="373" spans="1:24" x14ac:dyDescent="0.25">
      <c r="A373">
        <v>26729</v>
      </c>
      <c r="B373" t="s">
        <v>2217</v>
      </c>
      <c r="C373" s="1">
        <v>42032</v>
      </c>
      <c r="D373" s="1">
        <v>42034</v>
      </c>
      <c r="E373" t="s">
        <v>47</v>
      </c>
      <c r="F373" t="s">
        <v>1073</v>
      </c>
      <c r="G373" t="s">
        <v>444</v>
      </c>
      <c r="H373" t="s">
        <v>39</v>
      </c>
      <c r="I373" t="s">
        <v>906</v>
      </c>
      <c r="J373" t="s">
        <v>902</v>
      </c>
      <c r="K373" t="s">
        <v>903</v>
      </c>
      <c r="M373" t="s">
        <v>2991</v>
      </c>
      <c r="N373" t="s">
        <v>946</v>
      </c>
      <c r="O373" t="s">
        <v>2913</v>
      </c>
      <c r="P373" t="s">
        <v>22</v>
      </c>
      <c r="Q373" t="s">
        <v>30</v>
      </c>
      <c r="R373" t="s">
        <v>103</v>
      </c>
      <c r="S373">
        <v>84.100500000000025</v>
      </c>
      <c r="T373">
        <v>3</v>
      </c>
      <c r="U373">
        <v>0.45</v>
      </c>
      <c r="V373">
        <v>-50.539500000000018</v>
      </c>
      <c r="W373" s="3">
        <v>4.93</v>
      </c>
      <c r="X373" t="s">
        <v>931</v>
      </c>
    </row>
    <row r="374" spans="1:24" x14ac:dyDescent="0.25">
      <c r="A374">
        <v>22029</v>
      </c>
      <c r="B374" t="s">
        <v>1932</v>
      </c>
      <c r="C374" s="1">
        <v>41365</v>
      </c>
      <c r="D374" s="1">
        <v>41369</v>
      </c>
      <c r="E374" t="s">
        <v>19</v>
      </c>
      <c r="F374" t="s">
        <v>974</v>
      </c>
      <c r="G374" t="s">
        <v>501</v>
      </c>
      <c r="H374" t="s">
        <v>37</v>
      </c>
      <c r="I374" t="s">
        <v>906</v>
      </c>
      <c r="J374" t="s">
        <v>902</v>
      </c>
      <c r="K374" t="s">
        <v>903</v>
      </c>
      <c r="M374" t="s">
        <v>2991</v>
      </c>
      <c r="N374" t="s">
        <v>946</v>
      </c>
      <c r="O374" t="s">
        <v>2505</v>
      </c>
      <c r="P374" t="s">
        <v>22</v>
      </c>
      <c r="Q374" t="s">
        <v>942</v>
      </c>
      <c r="R374" t="s">
        <v>691</v>
      </c>
      <c r="S374">
        <v>83.691000000000017</v>
      </c>
      <c r="T374">
        <v>2</v>
      </c>
      <c r="U374">
        <v>0.15000000000000002</v>
      </c>
      <c r="V374">
        <v>30.470999999999997</v>
      </c>
      <c r="W374" s="3">
        <v>17.47</v>
      </c>
      <c r="X374" t="s">
        <v>931</v>
      </c>
    </row>
    <row r="375" spans="1:24" x14ac:dyDescent="0.25">
      <c r="A375">
        <v>29105</v>
      </c>
      <c r="B375" t="s">
        <v>2360</v>
      </c>
      <c r="C375" s="1">
        <v>42349</v>
      </c>
      <c r="D375" s="1">
        <v>42356</v>
      </c>
      <c r="E375" t="s">
        <v>19</v>
      </c>
      <c r="F375" t="s">
        <v>986</v>
      </c>
      <c r="G375" t="s">
        <v>596</v>
      </c>
      <c r="H375" t="s">
        <v>37</v>
      </c>
      <c r="I375" t="s">
        <v>906</v>
      </c>
      <c r="J375" t="s">
        <v>902</v>
      </c>
      <c r="K375" t="s">
        <v>903</v>
      </c>
      <c r="M375" t="s">
        <v>2991</v>
      </c>
      <c r="N375" t="s">
        <v>946</v>
      </c>
      <c r="O375" t="s">
        <v>2465</v>
      </c>
      <c r="P375" t="s">
        <v>22</v>
      </c>
      <c r="Q375" t="s">
        <v>937</v>
      </c>
      <c r="R375" t="s">
        <v>117</v>
      </c>
      <c r="S375">
        <v>83.358000000000004</v>
      </c>
      <c r="T375">
        <v>3</v>
      </c>
      <c r="U375">
        <v>0.45</v>
      </c>
      <c r="V375">
        <v>-28.872</v>
      </c>
      <c r="W375" s="3">
        <v>5.34</v>
      </c>
      <c r="X375" t="s">
        <v>933</v>
      </c>
    </row>
    <row r="376" spans="1:24" x14ac:dyDescent="0.25">
      <c r="A376">
        <v>29486</v>
      </c>
      <c r="B376" t="s">
        <v>2380</v>
      </c>
      <c r="C376" s="1">
        <v>41652</v>
      </c>
      <c r="D376" s="1">
        <v>41656</v>
      </c>
      <c r="E376" t="s">
        <v>19</v>
      </c>
      <c r="F376" t="s">
        <v>1389</v>
      </c>
      <c r="G376" t="s">
        <v>455</v>
      </c>
      <c r="H376" t="s">
        <v>39</v>
      </c>
      <c r="I376" t="s">
        <v>906</v>
      </c>
      <c r="J376" t="s">
        <v>902</v>
      </c>
      <c r="K376" t="s">
        <v>903</v>
      </c>
      <c r="M376" t="s">
        <v>2991</v>
      </c>
      <c r="N376" t="s">
        <v>946</v>
      </c>
      <c r="O376" t="s">
        <v>2964</v>
      </c>
      <c r="P376" t="s">
        <v>22</v>
      </c>
      <c r="Q376" t="s">
        <v>30</v>
      </c>
      <c r="R376" t="s">
        <v>41</v>
      </c>
      <c r="S376">
        <v>82.863</v>
      </c>
      <c r="T376">
        <v>3</v>
      </c>
      <c r="U376">
        <v>0.45</v>
      </c>
      <c r="V376">
        <v>-58.796999999999997</v>
      </c>
      <c r="W376" s="3">
        <v>9.2100000000000009</v>
      </c>
      <c r="X376" t="s">
        <v>931</v>
      </c>
    </row>
    <row r="377" spans="1:24" x14ac:dyDescent="0.25">
      <c r="A377">
        <v>23231</v>
      </c>
      <c r="B377" t="s">
        <v>2018</v>
      </c>
      <c r="C377" s="1">
        <v>41550</v>
      </c>
      <c r="D377" s="1">
        <v>41552</v>
      </c>
      <c r="E377" t="s">
        <v>47</v>
      </c>
      <c r="F377" t="s">
        <v>1025</v>
      </c>
      <c r="G377" t="s">
        <v>336</v>
      </c>
      <c r="H377" t="s">
        <v>37</v>
      </c>
      <c r="I377" t="s">
        <v>905</v>
      </c>
      <c r="J377" t="s">
        <v>902</v>
      </c>
      <c r="K377" t="s">
        <v>903</v>
      </c>
      <c r="M377" t="s">
        <v>2991</v>
      </c>
      <c r="N377" t="s">
        <v>946</v>
      </c>
      <c r="O377" t="s">
        <v>2898</v>
      </c>
      <c r="P377" t="s">
        <v>22</v>
      </c>
      <c r="Q377" t="s">
        <v>940</v>
      </c>
      <c r="R377" t="s">
        <v>850</v>
      </c>
      <c r="S377">
        <v>82.368000000000009</v>
      </c>
      <c r="T377">
        <v>3</v>
      </c>
      <c r="U377">
        <v>0.45</v>
      </c>
      <c r="V377">
        <v>-15.012000000000008</v>
      </c>
      <c r="W377" s="3">
        <v>30.65</v>
      </c>
      <c r="X377" t="s">
        <v>932</v>
      </c>
    </row>
    <row r="378" spans="1:24" x14ac:dyDescent="0.25">
      <c r="A378">
        <v>29870</v>
      </c>
      <c r="B378" t="s">
        <v>2406</v>
      </c>
      <c r="C378" s="1">
        <v>42600</v>
      </c>
      <c r="D378" s="1">
        <v>42604</v>
      </c>
      <c r="E378" t="s">
        <v>19</v>
      </c>
      <c r="F378" t="s">
        <v>965</v>
      </c>
      <c r="G378" t="s">
        <v>854</v>
      </c>
      <c r="H378" t="s">
        <v>20</v>
      </c>
      <c r="I378" t="s">
        <v>905</v>
      </c>
      <c r="J378" t="s">
        <v>902</v>
      </c>
      <c r="K378" t="s">
        <v>903</v>
      </c>
      <c r="M378" t="s">
        <v>2991</v>
      </c>
      <c r="N378" t="s">
        <v>946</v>
      </c>
      <c r="O378" t="s">
        <v>2695</v>
      </c>
      <c r="P378" t="s">
        <v>22</v>
      </c>
      <c r="Q378" t="s">
        <v>69</v>
      </c>
      <c r="R378" t="s">
        <v>831</v>
      </c>
      <c r="S378">
        <v>81.757500000000007</v>
      </c>
      <c r="T378">
        <v>5</v>
      </c>
      <c r="U378">
        <v>0.45</v>
      </c>
      <c r="V378">
        <v>-56.542499999999997</v>
      </c>
      <c r="W378" s="3">
        <v>2.17</v>
      </c>
      <c r="X378" t="s">
        <v>933</v>
      </c>
    </row>
    <row r="379" spans="1:24" x14ac:dyDescent="0.25">
      <c r="A379">
        <v>21678</v>
      </c>
      <c r="B379" t="s">
        <v>1912</v>
      </c>
      <c r="C379" s="1">
        <v>42299</v>
      </c>
      <c r="D379" s="1">
        <v>42305</v>
      </c>
      <c r="E379" t="s">
        <v>19</v>
      </c>
      <c r="F379" t="s">
        <v>978</v>
      </c>
      <c r="G379" t="s">
        <v>496</v>
      </c>
      <c r="H379" t="s">
        <v>37</v>
      </c>
      <c r="I379" t="s">
        <v>906</v>
      </c>
      <c r="J379" t="s">
        <v>902</v>
      </c>
      <c r="K379" t="s">
        <v>903</v>
      </c>
      <c r="M379" t="s">
        <v>2991</v>
      </c>
      <c r="N379" t="s">
        <v>946</v>
      </c>
      <c r="O379" t="s">
        <v>2753</v>
      </c>
      <c r="P379" t="s">
        <v>22</v>
      </c>
      <c r="Q379" t="s">
        <v>940</v>
      </c>
      <c r="R379" t="s">
        <v>530</v>
      </c>
      <c r="S379">
        <v>81.378000000000014</v>
      </c>
      <c r="T379">
        <v>3</v>
      </c>
      <c r="U379">
        <v>0.45</v>
      </c>
      <c r="V379">
        <v>-32.562000000000012</v>
      </c>
      <c r="W379" s="3">
        <v>5.26</v>
      </c>
      <c r="X379" t="s">
        <v>933</v>
      </c>
    </row>
    <row r="380" spans="1:24" x14ac:dyDescent="0.25">
      <c r="A380">
        <v>29357</v>
      </c>
      <c r="B380" t="s">
        <v>2373</v>
      </c>
      <c r="C380" s="1">
        <v>42688</v>
      </c>
      <c r="D380" s="1">
        <v>42692</v>
      </c>
      <c r="E380" t="s">
        <v>19</v>
      </c>
      <c r="F380" t="s">
        <v>1067</v>
      </c>
      <c r="G380" t="s">
        <v>572</v>
      </c>
      <c r="H380" t="s">
        <v>37</v>
      </c>
      <c r="I380" t="s">
        <v>916</v>
      </c>
      <c r="J380" t="s">
        <v>911</v>
      </c>
      <c r="K380" t="s">
        <v>903</v>
      </c>
      <c r="M380" t="s">
        <v>2991</v>
      </c>
      <c r="N380" t="s">
        <v>946</v>
      </c>
      <c r="O380" t="s">
        <v>2641</v>
      </c>
      <c r="P380" t="s">
        <v>22</v>
      </c>
      <c r="Q380" t="s">
        <v>30</v>
      </c>
      <c r="R380" t="s">
        <v>518</v>
      </c>
      <c r="S380">
        <v>81.1965</v>
      </c>
      <c r="T380">
        <v>7</v>
      </c>
      <c r="U380">
        <v>0.45</v>
      </c>
      <c r="V380">
        <v>-38.50350000000001</v>
      </c>
      <c r="W380" s="3">
        <v>6.07</v>
      </c>
      <c r="X380" t="s">
        <v>933</v>
      </c>
    </row>
    <row r="381" spans="1:24" x14ac:dyDescent="0.25">
      <c r="A381">
        <v>22395</v>
      </c>
      <c r="B381" t="s">
        <v>1957</v>
      </c>
      <c r="C381" s="1">
        <v>42319</v>
      </c>
      <c r="D381" s="1">
        <v>42324</v>
      </c>
      <c r="E381" t="s">
        <v>43</v>
      </c>
      <c r="F381" t="s">
        <v>1372</v>
      </c>
      <c r="G381" t="s">
        <v>66</v>
      </c>
      <c r="H381" t="s">
        <v>20</v>
      </c>
      <c r="I381" t="s">
        <v>906</v>
      </c>
      <c r="J381" t="s">
        <v>902</v>
      </c>
      <c r="K381" t="s">
        <v>903</v>
      </c>
      <c r="M381" t="s">
        <v>2991</v>
      </c>
      <c r="N381" t="s">
        <v>946</v>
      </c>
      <c r="O381" t="s">
        <v>2833</v>
      </c>
      <c r="P381" t="s">
        <v>31</v>
      </c>
      <c r="Q381" t="s">
        <v>945</v>
      </c>
      <c r="R381" t="s">
        <v>399</v>
      </c>
      <c r="S381">
        <v>81.097500000000025</v>
      </c>
      <c r="T381">
        <v>5</v>
      </c>
      <c r="U381">
        <v>0.45</v>
      </c>
      <c r="V381">
        <v>-33.952500000000001</v>
      </c>
      <c r="W381" s="3">
        <v>8.4600000000000009</v>
      </c>
      <c r="X381" t="s">
        <v>933</v>
      </c>
    </row>
    <row r="382" spans="1:24" x14ac:dyDescent="0.25">
      <c r="A382">
        <v>29124</v>
      </c>
      <c r="B382" t="s">
        <v>2361</v>
      </c>
      <c r="C382" s="1">
        <v>42574</v>
      </c>
      <c r="D382" s="1">
        <v>42580</v>
      </c>
      <c r="E382" t="s">
        <v>19</v>
      </c>
      <c r="F382" t="s">
        <v>1186</v>
      </c>
      <c r="G382" t="s">
        <v>172</v>
      </c>
      <c r="H382" t="s">
        <v>39</v>
      </c>
      <c r="I382" t="s">
        <v>912</v>
      </c>
      <c r="J382" t="s">
        <v>913</v>
      </c>
      <c r="K382" t="s">
        <v>903</v>
      </c>
      <c r="M382" t="s">
        <v>2991</v>
      </c>
      <c r="N382" t="s">
        <v>946</v>
      </c>
      <c r="O382" t="s">
        <v>2735</v>
      </c>
      <c r="P382" t="s">
        <v>22</v>
      </c>
      <c r="Q382" t="s">
        <v>935</v>
      </c>
      <c r="R382" t="s">
        <v>212</v>
      </c>
      <c r="S382">
        <v>80.685000000000016</v>
      </c>
      <c r="T382">
        <v>6</v>
      </c>
      <c r="U382">
        <v>0.45</v>
      </c>
      <c r="V382">
        <v>-45.495000000000019</v>
      </c>
      <c r="W382" s="3">
        <v>5.15</v>
      </c>
      <c r="X382" t="s">
        <v>933</v>
      </c>
    </row>
    <row r="383" spans="1:24" x14ac:dyDescent="0.25">
      <c r="A383">
        <v>21433</v>
      </c>
      <c r="B383" t="s">
        <v>1898</v>
      </c>
      <c r="C383" s="1">
        <v>42154</v>
      </c>
      <c r="D383" s="1">
        <v>42156</v>
      </c>
      <c r="E383" t="s">
        <v>47</v>
      </c>
      <c r="F383" t="s">
        <v>959</v>
      </c>
      <c r="G383" t="s">
        <v>363</v>
      </c>
      <c r="H383" t="s">
        <v>39</v>
      </c>
      <c r="I383" t="s">
        <v>912</v>
      </c>
      <c r="J383" t="s">
        <v>913</v>
      </c>
      <c r="K383" t="s">
        <v>903</v>
      </c>
      <c r="M383" t="s">
        <v>2991</v>
      </c>
      <c r="N383" t="s">
        <v>946</v>
      </c>
      <c r="O383" t="s">
        <v>2704</v>
      </c>
      <c r="P383" t="s">
        <v>31</v>
      </c>
      <c r="Q383" t="s">
        <v>945</v>
      </c>
      <c r="R383" t="s">
        <v>698</v>
      </c>
      <c r="S383">
        <v>80.52000000000001</v>
      </c>
      <c r="T383">
        <v>5</v>
      </c>
      <c r="U383">
        <v>0.45</v>
      </c>
      <c r="V383">
        <v>-45.480000000000011</v>
      </c>
      <c r="W383" s="3">
        <v>13.84</v>
      </c>
      <c r="X383" t="s">
        <v>933</v>
      </c>
    </row>
    <row r="384" spans="1:24" x14ac:dyDescent="0.25">
      <c r="A384">
        <v>21518</v>
      </c>
      <c r="B384" t="s">
        <v>1907</v>
      </c>
      <c r="C384" s="1">
        <v>41830</v>
      </c>
      <c r="D384" s="1">
        <v>41835</v>
      </c>
      <c r="E384" t="s">
        <v>19</v>
      </c>
      <c r="F384" t="s">
        <v>1113</v>
      </c>
      <c r="G384" t="s">
        <v>548</v>
      </c>
      <c r="H384" t="s">
        <v>39</v>
      </c>
      <c r="I384" t="s">
        <v>901</v>
      </c>
      <c r="J384" t="s">
        <v>902</v>
      </c>
      <c r="K384" t="s">
        <v>903</v>
      </c>
      <c r="M384" t="s">
        <v>2991</v>
      </c>
      <c r="N384" t="s">
        <v>946</v>
      </c>
      <c r="O384" t="s">
        <v>2668</v>
      </c>
      <c r="P384" t="s">
        <v>22</v>
      </c>
      <c r="Q384" t="s">
        <v>940</v>
      </c>
      <c r="R384" t="s">
        <v>199</v>
      </c>
      <c r="S384">
        <v>80.239500000000021</v>
      </c>
      <c r="T384">
        <v>3</v>
      </c>
      <c r="U384">
        <v>0.45</v>
      </c>
      <c r="V384">
        <v>-48.190500000000007</v>
      </c>
      <c r="W384" s="3">
        <v>5.18</v>
      </c>
      <c r="X384" t="s">
        <v>933</v>
      </c>
    </row>
    <row r="385" spans="1:24" x14ac:dyDescent="0.25">
      <c r="A385">
        <v>28149</v>
      </c>
      <c r="B385" t="s">
        <v>2309</v>
      </c>
      <c r="C385" s="1">
        <v>42250</v>
      </c>
      <c r="D385" s="1">
        <v>42255</v>
      </c>
      <c r="E385" t="s">
        <v>19</v>
      </c>
      <c r="F385" t="s">
        <v>1087</v>
      </c>
      <c r="G385" t="s">
        <v>357</v>
      </c>
      <c r="H385" t="s">
        <v>20</v>
      </c>
      <c r="I385" t="s">
        <v>901</v>
      </c>
      <c r="J385" t="s">
        <v>902</v>
      </c>
      <c r="K385" t="s">
        <v>903</v>
      </c>
      <c r="M385" t="s">
        <v>2991</v>
      </c>
      <c r="N385" t="s">
        <v>946</v>
      </c>
      <c r="O385" t="s">
        <v>2727</v>
      </c>
      <c r="P385" t="s">
        <v>22</v>
      </c>
      <c r="Q385" t="s">
        <v>935</v>
      </c>
      <c r="R385" t="s">
        <v>396</v>
      </c>
      <c r="S385">
        <v>80.041499999999999</v>
      </c>
      <c r="T385">
        <v>3</v>
      </c>
      <c r="U385">
        <v>0.45</v>
      </c>
      <c r="V385">
        <v>-39.29849999999999</v>
      </c>
      <c r="W385" s="3">
        <v>8.2899999999999991</v>
      </c>
      <c r="X385" t="s">
        <v>931</v>
      </c>
    </row>
    <row r="386" spans="1:24" x14ac:dyDescent="0.25">
      <c r="A386">
        <v>23762</v>
      </c>
      <c r="B386" t="s">
        <v>2045</v>
      </c>
      <c r="C386" s="1">
        <v>41288</v>
      </c>
      <c r="D386" s="1">
        <v>41295</v>
      </c>
      <c r="E386" t="s">
        <v>19</v>
      </c>
      <c r="F386" t="s">
        <v>1183</v>
      </c>
      <c r="G386" t="s">
        <v>459</v>
      </c>
      <c r="H386" t="s">
        <v>39</v>
      </c>
      <c r="I386" t="s">
        <v>906</v>
      </c>
      <c r="J386" t="s">
        <v>902</v>
      </c>
      <c r="K386" t="s">
        <v>903</v>
      </c>
      <c r="M386" t="s">
        <v>2991</v>
      </c>
      <c r="N386" t="s">
        <v>946</v>
      </c>
      <c r="O386" t="s">
        <v>2494</v>
      </c>
      <c r="P386" t="s">
        <v>22</v>
      </c>
      <c r="Q386" t="s">
        <v>935</v>
      </c>
      <c r="R386" t="s">
        <v>258</v>
      </c>
      <c r="S386">
        <v>79.992000000000019</v>
      </c>
      <c r="T386">
        <v>3</v>
      </c>
      <c r="U386">
        <v>0.45</v>
      </c>
      <c r="V386">
        <v>5.7419999999999902</v>
      </c>
      <c r="W386" s="3">
        <v>9.43</v>
      </c>
      <c r="X386" t="s">
        <v>934</v>
      </c>
    </row>
    <row r="387" spans="1:24" x14ac:dyDescent="0.25">
      <c r="A387">
        <v>23412</v>
      </c>
      <c r="B387" t="s">
        <v>2023</v>
      </c>
      <c r="C387" s="1">
        <v>42414</v>
      </c>
      <c r="D387" s="1">
        <v>42419</v>
      </c>
      <c r="E387" t="s">
        <v>19</v>
      </c>
      <c r="F387" t="s">
        <v>1173</v>
      </c>
      <c r="G387" t="s">
        <v>90</v>
      </c>
      <c r="H387" t="s">
        <v>20</v>
      </c>
      <c r="I387" t="s">
        <v>906</v>
      </c>
      <c r="J387" t="s">
        <v>902</v>
      </c>
      <c r="K387" t="s">
        <v>903</v>
      </c>
      <c r="M387" t="s">
        <v>2991</v>
      </c>
      <c r="N387" t="s">
        <v>946</v>
      </c>
      <c r="O387" t="s">
        <v>2699</v>
      </c>
      <c r="P387" t="s">
        <v>27</v>
      </c>
      <c r="Q387" t="s">
        <v>936</v>
      </c>
      <c r="R387" t="s">
        <v>148</v>
      </c>
      <c r="S387">
        <v>79.56</v>
      </c>
      <c r="T387">
        <v>2</v>
      </c>
      <c r="U387">
        <v>0.25</v>
      </c>
      <c r="V387">
        <v>13.739999999999998</v>
      </c>
      <c r="W387" s="3">
        <v>5.0999999999999996</v>
      </c>
      <c r="X387" t="s">
        <v>933</v>
      </c>
    </row>
    <row r="388" spans="1:24" x14ac:dyDescent="0.25">
      <c r="A388">
        <v>20774</v>
      </c>
      <c r="B388" t="s">
        <v>1864</v>
      </c>
      <c r="C388" s="1">
        <v>41651</v>
      </c>
      <c r="D388" s="1">
        <v>41656</v>
      </c>
      <c r="E388" t="s">
        <v>19</v>
      </c>
      <c r="F388" t="s">
        <v>1107</v>
      </c>
      <c r="G388" t="s">
        <v>385</v>
      </c>
      <c r="H388" t="s">
        <v>20</v>
      </c>
      <c r="I388" t="s">
        <v>901</v>
      </c>
      <c r="J388" t="s">
        <v>902</v>
      </c>
      <c r="K388" t="s">
        <v>903</v>
      </c>
      <c r="M388" t="s">
        <v>2991</v>
      </c>
      <c r="N388" t="s">
        <v>946</v>
      </c>
      <c r="O388" t="s">
        <v>2529</v>
      </c>
      <c r="P388" t="s">
        <v>27</v>
      </c>
      <c r="Q388" t="s">
        <v>29</v>
      </c>
      <c r="R388" t="s">
        <v>742</v>
      </c>
      <c r="S388">
        <v>78.68249999999999</v>
      </c>
      <c r="T388">
        <v>1</v>
      </c>
      <c r="U388">
        <v>0.35</v>
      </c>
      <c r="V388">
        <v>10.882500000000007</v>
      </c>
      <c r="W388" s="3">
        <v>4.1399999999999997</v>
      </c>
      <c r="X388" t="s">
        <v>933</v>
      </c>
    </row>
    <row r="389" spans="1:24" x14ac:dyDescent="0.25">
      <c r="A389">
        <v>21519</v>
      </c>
      <c r="B389" t="s">
        <v>1907</v>
      </c>
      <c r="C389" s="1">
        <v>41830</v>
      </c>
      <c r="D389" s="1">
        <v>41835</v>
      </c>
      <c r="E389" t="s">
        <v>19</v>
      </c>
      <c r="F389" t="s">
        <v>1113</v>
      </c>
      <c r="G389" t="s">
        <v>548</v>
      </c>
      <c r="H389" t="s">
        <v>39</v>
      </c>
      <c r="I389" t="s">
        <v>901</v>
      </c>
      <c r="J389" t="s">
        <v>902</v>
      </c>
      <c r="K389" t="s">
        <v>903</v>
      </c>
      <c r="M389" t="s">
        <v>2991</v>
      </c>
      <c r="N389" t="s">
        <v>946</v>
      </c>
      <c r="O389" t="s">
        <v>2534</v>
      </c>
      <c r="P389" t="s">
        <v>22</v>
      </c>
      <c r="Q389" t="s">
        <v>937</v>
      </c>
      <c r="R389" t="s">
        <v>813</v>
      </c>
      <c r="S389">
        <v>78.507000000000005</v>
      </c>
      <c r="T389">
        <v>3</v>
      </c>
      <c r="U389">
        <v>0.45</v>
      </c>
      <c r="V389">
        <v>-24.273000000000003</v>
      </c>
      <c r="W389" s="3">
        <v>7.84</v>
      </c>
      <c r="X389" t="s">
        <v>933</v>
      </c>
    </row>
    <row r="390" spans="1:24" x14ac:dyDescent="0.25">
      <c r="A390">
        <v>23807</v>
      </c>
      <c r="B390" t="s">
        <v>2048</v>
      </c>
      <c r="C390" s="1">
        <v>42653</v>
      </c>
      <c r="D390" s="1">
        <v>42658</v>
      </c>
      <c r="E390" t="s">
        <v>19</v>
      </c>
      <c r="F390" t="s">
        <v>964</v>
      </c>
      <c r="G390" t="s">
        <v>750</v>
      </c>
      <c r="H390" t="s">
        <v>39</v>
      </c>
      <c r="I390" t="s">
        <v>917</v>
      </c>
      <c r="J390" t="s">
        <v>915</v>
      </c>
      <c r="K390" t="s">
        <v>903</v>
      </c>
      <c r="M390" t="s">
        <v>2991</v>
      </c>
      <c r="N390" t="s">
        <v>946</v>
      </c>
      <c r="O390" t="s">
        <v>2892</v>
      </c>
      <c r="P390" t="s">
        <v>27</v>
      </c>
      <c r="Q390" t="s">
        <v>936</v>
      </c>
      <c r="R390" t="s">
        <v>710</v>
      </c>
      <c r="S390">
        <v>77.760000000000005</v>
      </c>
      <c r="T390">
        <v>2</v>
      </c>
      <c r="U390">
        <v>0.25</v>
      </c>
      <c r="V390">
        <v>13.439999999999998</v>
      </c>
      <c r="W390" s="3">
        <v>7.01</v>
      </c>
      <c r="X390" t="s">
        <v>933</v>
      </c>
    </row>
    <row r="391" spans="1:24" x14ac:dyDescent="0.25">
      <c r="A391">
        <v>28174</v>
      </c>
      <c r="B391" t="s">
        <v>2310</v>
      </c>
      <c r="C391" s="1">
        <v>41285</v>
      </c>
      <c r="D391" s="1">
        <v>41290</v>
      </c>
      <c r="E391" t="s">
        <v>19</v>
      </c>
      <c r="F391" t="s">
        <v>1269</v>
      </c>
      <c r="G391" t="s">
        <v>95</v>
      </c>
      <c r="H391" t="s">
        <v>37</v>
      </c>
      <c r="I391" t="s">
        <v>920</v>
      </c>
      <c r="J391" t="s">
        <v>911</v>
      </c>
      <c r="K391" t="s">
        <v>903</v>
      </c>
      <c r="M391" t="s">
        <v>2991</v>
      </c>
      <c r="N391" t="s">
        <v>946</v>
      </c>
      <c r="O391" t="s">
        <v>2878</v>
      </c>
      <c r="P391" t="s">
        <v>27</v>
      </c>
      <c r="Q391" t="s">
        <v>936</v>
      </c>
      <c r="R391" t="s">
        <v>546</v>
      </c>
      <c r="S391">
        <v>77.715000000000003</v>
      </c>
      <c r="T391">
        <v>2</v>
      </c>
      <c r="U391">
        <v>0.25</v>
      </c>
      <c r="V391">
        <v>23.774999999999991</v>
      </c>
      <c r="W391" s="3">
        <v>7.09</v>
      </c>
      <c r="X391" t="s">
        <v>933</v>
      </c>
    </row>
    <row r="392" spans="1:24" x14ac:dyDescent="0.25">
      <c r="A392">
        <v>24734</v>
      </c>
      <c r="B392" t="s">
        <v>2096</v>
      </c>
      <c r="C392" s="1">
        <v>41831</v>
      </c>
      <c r="D392" s="1">
        <v>41836</v>
      </c>
      <c r="E392" t="s">
        <v>19</v>
      </c>
      <c r="F392" t="s">
        <v>1006</v>
      </c>
      <c r="G392" t="s">
        <v>273</v>
      </c>
      <c r="H392" t="s">
        <v>20</v>
      </c>
      <c r="I392" t="s">
        <v>220</v>
      </c>
      <c r="J392" t="s">
        <v>919</v>
      </c>
      <c r="K392" t="s">
        <v>903</v>
      </c>
      <c r="M392" t="s">
        <v>2991</v>
      </c>
      <c r="N392" t="s">
        <v>946</v>
      </c>
      <c r="O392" t="s">
        <v>2810</v>
      </c>
      <c r="P392" t="s">
        <v>27</v>
      </c>
      <c r="Q392" t="s">
        <v>939</v>
      </c>
      <c r="R392" t="s">
        <v>208</v>
      </c>
      <c r="S392">
        <v>77.534999999999997</v>
      </c>
      <c r="T392">
        <v>2</v>
      </c>
      <c r="U392">
        <v>0.25</v>
      </c>
      <c r="V392">
        <v>14.414999999999999</v>
      </c>
      <c r="W392" s="3">
        <v>8.09</v>
      </c>
      <c r="X392" t="s">
        <v>933</v>
      </c>
    </row>
    <row r="393" spans="1:24" x14ac:dyDescent="0.25">
      <c r="A393">
        <v>21878</v>
      </c>
      <c r="B393" t="s">
        <v>1926</v>
      </c>
      <c r="C393" s="1">
        <v>42715</v>
      </c>
      <c r="D393" s="1">
        <v>42719</v>
      </c>
      <c r="E393" t="s">
        <v>19</v>
      </c>
      <c r="F393" t="s">
        <v>1163</v>
      </c>
      <c r="G393" t="s">
        <v>863</v>
      </c>
      <c r="H393" t="s">
        <v>39</v>
      </c>
      <c r="I393" t="s">
        <v>906</v>
      </c>
      <c r="J393" t="s">
        <v>902</v>
      </c>
      <c r="K393" t="s">
        <v>903</v>
      </c>
      <c r="M393" t="s">
        <v>2991</v>
      </c>
      <c r="N393" t="s">
        <v>946</v>
      </c>
      <c r="O393" t="s">
        <v>2457</v>
      </c>
      <c r="P393" t="s">
        <v>22</v>
      </c>
      <c r="Q393" t="s">
        <v>940</v>
      </c>
      <c r="R393" t="s">
        <v>825</v>
      </c>
      <c r="S393">
        <v>77.170500000000004</v>
      </c>
      <c r="T393">
        <v>3</v>
      </c>
      <c r="U393">
        <v>0.45</v>
      </c>
      <c r="V393">
        <v>-47.749499999999998</v>
      </c>
      <c r="W393" s="3">
        <v>6.63</v>
      </c>
      <c r="X393" t="s">
        <v>933</v>
      </c>
    </row>
    <row r="394" spans="1:24" x14ac:dyDescent="0.25">
      <c r="A394">
        <v>20659</v>
      </c>
      <c r="B394" t="s">
        <v>1861</v>
      </c>
      <c r="C394" s="1">
        <v>42355</v>
      </c>
      <c r="D394" s="1">
        <v>42360</v>
      </c>
      <c r="E394" t="s">
        <v>43</v>
      </c>
      <c r="F394" t="s">
        <v>1046</v>
      </c>
      <c r="G394" t="s">
        <v>887</v>
      </c>
      <c r="H394" t="s">
        <v>20</v>
      </c>
      <c r="I394" t="s">
        <v>906</v>
      </c>
      <c r="J394" t="s">
        <v>902</v>
      </c>
      <c r="K394" t="s">
        <v>903</v>
      </c>
      <c r="M394" t="s">
        <v>2991</v>
      </c>
      <c r="N394" t="s">
        <v>946</v>
      </c>
      <c r="O394" t="s">
        <v>2569</v>
      </c>
      <c r="P394" t="s">
        <v>22</v>
      </c>
      <c r="Q394" t="s">
        <v>30</v>
      </c>
      <c r="R394" t="s">
        <v>829</v>
      </c>
      <c r="S394">
        <v>76.923000000000002</v>
      </c>
      <c r="T394">
        <v>3</v>
      </c>
      <c r="U394">
        <v>0.45</v>
      </c>
      <c r="V394">
        <v>-18.206999999999994</v>
      </c>
      <c r="W394" s="3">
        <v>9.06</v>
      </c>
      <c r="X394" t="s">
        <v>933</v>
      </c>
    </row>
    <row r="395" spans="1:24" x14ac:dyDescent="0.25">
      <c r="A395">
        <v>27521</v>
      </c>
      <c r="B395" t="s">
        <v>2281</v>
      </c>
      <c r="C395" s="1">
        <v>42680</v>
      </c>
      <c r="D395" s="1">
        <v>42684</v>
      </c>
      <c r="E395" t="s">
        <v>19</v>
      </c>
      <c r="F395" t="s">
        <v>1011</v>
      </c>
      <c r="G395" t="s">
        <v>674</v>
      </c>
      <c r="H395" t="s">
        <v>39</v>
      </c>
      <c r="I395" t="s">
        <v>906</v>
      </c>
      <c r="J395" t="s">
        <v>902</v>
      </c>
      <c r="K395" t="s">
        <v>903</v>
      </c>
      <c r="M395" t="s">
        <v>2991</v>
      </c>
      <c r="N395" t="s">
        <v>946</v>
      </c>
      <c r="O395" t="s">
        <v>2653</v>
      </c>
      <c r="P395" t="s">
        <v>22</v>
      </c>
      <c r="Q395" t="s">
        <v>30</v>
      </c>
      <c r="R395" t="s">
        <v>894</v>
      </c>
      <c r="S395">
        <v>76.22999999999999</v>
      </c>
      <c r="T395">
        <v>7</v>
      </c>
      <c r="U395">
        <v>0.45</v>
      </c>
      <c r="V395">
        <v>-45.779999999999987</v>
      </c>
      <c r="W395" s="3">
        <v>6.75</v>
      </c>
      <c r="X395" t="s">
        <v>931</v>
      </c>
    </row>
    <row r="396" spans="1:24" x14ac:dyDescent="0.25">
      <c r="A396">
        <v>21237</v>
      </c>
      <c r="B396" t="s">
        <v>1891</v>
      </c>
      <c r="C396" s="1">
        <v>41573</v>
      </c>
      <c r="D396" s="1">
        <v>41579</v>
      </c>
      <c r="E396" t="s">
        <v>19</v>
      </c>
      <c r="F396" t="s">
        <v>1113</v>
      </c>
      <c r="G396" t="s">
        <v>548</v>
      </c>
      <c r="H396" t="s">
        <v>39</v>
      </c>
      <c r="I396" t="s">
        <v>906</v>
      </c>
      <c r="J396" t="s">
        <v>902</v>
      </c>
      <c r="K396" t="s">
        <v>903</v>
      </c>
      <c r="M396" t="s">
        <v>2991</v>
      </c>
      <c r="N396" t="s">
        <v>946</v>
      </c>
      <c r="O396" t="s">
        <v>2692</v>
      </c>
      <c r="P396" t="s">
        <v>27</v>
      </c>
      <c r="Q396" t="s">
        <v>936</v>
      </c>
      <c r="R396" t="s">
        <v>682</v>
      </c>
      <c r="S396">
        <v>75.78</v>
      </c>
      <c r="T396">
        <v>4</v>
      </c>
      <c r="U396">
        <v>0.25</v>
      </c>
      <c r="V396">
        <v>15.060000000000002</v>
      </c>
      <c r="W396" s="3">
        <v>5.3</v>
      </c>
      <c r="X396" t="s">
        <v>933</v>
      </c>
    </row>
    <row r="397" spans="1:24" x14ac:dyDescent="0.25">
      <c r="A397">
        <v>25008</v>
      </c>
      <c r="B397" t="s">
        <v>2110</v>
      </c>
      <c r="C397" s="1">
        <v>41819</v>
      </c>
      <c r="D397" s="1">
        <v>41826</v>
      </c>
      <c r="E397" t="s">
        <v>19</v>
      </c>
      <c r="F397" t="s">
        <v>1032</v>
      </c>
      <c r="G397" t="s">
        <v>740</v>
      </c>
      <c r="H397" t="s">
        <v>39</v>
      </c>
      <c r="I397" t="s">
        <v>901</v>
      </c>
      <c r="J397" t="s">
        <v>902</v>
      </c>
      <c r="K397" t="s">
        <v>903</v>
      </c>
      <c r="M397" t="s">
        <v>2991</v>
      </c>
      <c r="N397" t="s">
        <v>946</v>
      </c>
      <c r="O397" t="s">
        <v>2853</v>
      </c>
      <c r="P397" t="s">
        <v>22</v>
      </c>
      <c r="Q397" t="s">
        <v>942</v>
      </c>
      <c r="R397" t="s">
        <v>551</v>
      </c>
      <c r="S397">
        <v>75.429000000000016</v>
      </c>
      <c r="T397">
        <v>3</v>
      </c>
      <c r="U397">
        <v>0.15000000000000002</v>
      </c>
      <c r="V397">
        <v>-12.501000000000003</v>
      </c>
      <c r="W397" s="3">
        <v>5.71</v>
      </c>
      <c r="X397" t="s">
        <v>933</v>
      </c>
    </row>
    <row r="398" spans="1:24" x14ac:dyDescent="0.25">
      <c r="A398">
        <v>22238</v>
      </c>
      <c r="B398" t="s">
        <v>1945</v>
      </c>
      <c r="C398" s="1">
        <v>42378</v>
      </c>
      <c r="D398" s="1">
        <v>42383</v>
      </c>
      <c r="E398" t="s">
        <v>19</v>
      </c>
      <c r="F398" t="s">
        <v>1159</v>
      </c>
      <c r="G398" t="s">
        <v>106</v>
      </c>
      <c r="H398" t="s">
        <v>37</v>
      </c>
      <c r="I398" t="s">
        <v>906</v>
      </c>
      <c r="J398" t="s">
        <v>902</v>
      </c>
      <c r="K398" t="s">
        <v>903</v>
      </c>
      <c r="M398" t="s">
        <v>2991</v>
      </c>
      <c r="N398" t="s">
        <v>946</v>
      </c>
      <c r="O398" t="s">
        <v>2812</v>
      </c>
      <c r="P398" t="s">
        <v>27</v>
      </c>
      <c r="Q398" t="s">
        <v>936</v>
      </c>
      <c r="R398" t="s">
        <v>681</v>
      </c>
      <c r="S398">
        <v>73.304999999999993</v>
      </c>
      <c r="T398">
        <v>2</v>
      </c>
      <c r="U398">
        <v>0.25</v>
      </c>
      <c r="V398">
        <v>16.605</v>
      </c>
      <c r="W398" s="3">
        <v>5.95</v>
      </c>
      <c r="X398" t="s">
        <v>933</v>
      </c>
    </row>
    <row r="399" spans="1:24" x14ac:dyDescent="0.25">
      <c r="A399">
        <v>24765</v>
      </c>
      <c r="B399" t="s">
        <v>2098</v>
      </c>
      <c r="C399" s="1">
        <v>42175</v>
      </c>
      <c r="D399" s="1">
        <v>42179</v>
      </c>
      <c r="E399" t="s">
        <v>19</v>
      </c>
      <c r="F399" t="s">
        <v>1255</v>
      </c>
      <c r="G399" t="s">
        <v>770</v>
      </c>
      <c r="H399" t="s">
        <v>39</v>
      </c>
      <c r="I399" t="s">
        <v>906</v>
      </c>
      <c r="J399" t="s">
        <v>902</v>
      </c>
      <c r="K399" t="s">
        <v>903</v>
      </c>
      <c r="M399" t="s">
        <v>2991</v>
      </c>
      <c r="N399" t="s">
        <v>946</v>
      </c>
      <c r="O399" t="s">
        <v>2593</v>
      </c>
      <c r="P399" t="s">
        <v>22</v>
      </c>
      <c r="Q399" t="s">
        <v>69</v>
      </c>
      <c r="R399" t="s">
        <v>301</v>
      </c>
      <c r="S399">
        <v>73.260000000000005</v>
      </c>
      <c r="T399">
        <v>5</v>
      </c>
      <c r="U399">
        <v>0.45</v>
      </c>
      <c r="V399">
        <v>-25.440000000000005</v>
      </c>
      <c r="W399" s="3">
        <v>5.35</v>
      </c>
      <c r="X399" t="s">
        <v>931</v>
      </c>
    </row>
    <row r="400" spans="1:24" x14ac:dyDescent="0.25">
      <c r="A400">
        <v>21655</v>
      </c>
      <c r="B400" t="s">
        <v>1911</v>
      </c>
      <c r="C400" s="1">
        <v>41846</v>
      </c>
      <c r="D400" s="1">
        <v>41846</v>
      </c>
      <c r="E400" t="s">
        <v>58</v>
      </c>
      <c r="F400" t="s">
        <v>1134</v>
      </c>
      <c r="G400" t="s">
        <v>565</v>
      </c>
      <c r="H400" t="s">
        <v>39</v>
      </c>
      <c r="I400" t="s">
        <v>906</v>
      </c>
      <c r="J400" t="s">
        <v>902</v>
      </c>
      <c r="K400" t="s">
        <v>903</v>
      </c>
      <c r="M400" t="s">
        <v>2991</v>
      </c>
      <c r="N400" t="s">
        <v>946</v>
      </c>
      <c r="O400" t="s">
        <v>2747</v>
      </c>
      <c r="P400" t="s">
        <v>27</v>
      </c>
      <c r="Q400" t="s">
        <v>939</v>
      </c>
      <c r="R400" t="s">
        <v>716</v>
      </c>
      <c r="S400">
        <v>72.675000000000011</v>
      </c>
      <c r="T400">
        <v>2</v>
      </c>
      <c r="U400">
        <v>0.25</v>
      </c>
      <c r="V400">
        <v>17.414999999999999</v>
      </c>
      <c r="W400" s="3">
        <v>10.62</v>
      </c>
      <c r="X400" t="s">
        <v>933</v>
      </c>
    </row>
    <row r="401" spans="1:24" x14ac:dyDescent="0.25">
      <c r="A401">
        <v>20501</v>
      </c>
      <c r="B401" t="s">
        <v>1852</v>
      </c>
      <c r="C401" s="1">
        <v>41810</v>
      </c>
      <c r="D401" s="1">
        <v>41815</v>
      </c>
      <c r="E401" t="s">
        <v>19</v>
      </c>
      <c r="F401" t="s">
        <v>1142</v>
      </c>
      <c r="G401" t="s">
        <v>68</v>
      </c>
      <c r="H401" t="s">
        <v>20</v>
      </c>
      <c r="I401" t="s">
        <v>905</v>
      </c>
      <c r="J401" t="s">
        <v>902</v>
      </c>
      <c r="K401" t="s">
        <v>903</v>
      </c>
      <c r="M401" t="s">
        <v>2991</v>
      </c>
      <c r="N401" t="s">
        <v>946</v>
      </c>
      <c r="O401" t="s">
        <v>2527</v>
      </c>
      <c r="P401" t="s">
        <v>27</v>
      </c>
      <c r="Q401" t="s">
        <v>939</v>
      </c>
      <c r="R401" t="s">
        <v>415</v>
      </c>
      <c r="S401">
        <v>72.314999999999998</v>
      </c>
      <c r="T401">
        <v>2</v>
      </c>
      <c r="U401">
        <v>0.25</v>
      </c>
      <c r="V401">
        <v>7.6949999999999967</v>
      </c>
      <c r="W401" s="3">
        <v>3.73</v>
      </c>
      <c r="X401" t="s">
        <v>933</v>
      </c>
    </row>
    <row r="402" spans="1:24" x14ac:dyDescent="0.25">
      <c r="A402">
        <v>24669</v>
      </c>
      <c r="B402" t="s">
        <v>2091</v>
      </c>
      <c r="C402" s="1">
        <v>42433</v>
      </c>
      <c r="D402" s="1">
        <v>42438</v>
      </c>
      <c r="E402" t="s">
        <v>43</v>
      </c>
      <c r="F402" t="s">
        <v>1028</v>
      </c>
      <c r="G402" t="s">
        <v>754</v>
      </c>
      <c r="H402" t="s">
        <v>37</v>
      </c>
      <c r="I402" t="s">
        <v>914</v>
      </c>
      <c r="J402" t="s">
        <v>915</v>
      </c>
      <c r="K402" t="s">
        <v>903</v>
      </c>
      <c r="M402" t="s">
        <v>2991</v>
      </c>
      <c r="N402" t="s">
        <v>946</v>
      </c>
      <c r="O402" t="s">
        <v>2553</v>
      </c>
      <c r="P402" t="s">
        <v>22</v>
      </c>
      <c r="Q402" t="s">
        <v>935</v>
      </c>
      <c r="R402" t="s">
        <v>193</v>
      </c>
      <c r="S402">
        <v>70.884</v>
      </c>
      <c r="T402">
        <v>1</v>
      </c>
      <c r="U402">
        <v>0.45</v>
      </c>
      <c r="V402">
        <v>-30.936000000000003</v>
      </c>
      <c r="W402" s="3">
        <v>3.84</v>
      </c>
      <c r="X402" t="s">
        <v>933</v>
      </c>
    </row>
    <row r="403" spans="1:24" x14ac:dyDescent="0.25">
      <c r="A403">
        <v>28978</v>
      </c>
      <c r="B403" t="s">
        <v>2352</v>
      </c>
      <c r="C403" s="1">
        <v>41414</v>
      </c>
      <c r="D403" s="1">
        <v>41421</v>
      </c>
      <c r="E403" t="s">
        <v>19</v>
      </c>
      <c r="F403" t="s">
        <v>958</v>
      </c>
      <c r="G403" t="s">
        <v>330</v>
      </c>
      <c r="H403" t="s">
        <v>37</v>
      </c>
      <c r="I403" t="s">
        <v>906</v>
      </c>
      <c r="J403" t="s">
        <v>902</v>
      </c>
      <c r="K403" t="s">
        <v>903</v>
      </c>
      <c r="M403" t="s">
        <v>2991</v>
      </c>
      <c r="N403" t="s">
        <v>946</v>
      </c>
      <c r="O403" t="s">
        <v>2806</v>
      </c>
      <c r="P403" t="s">
        <v>27</v>
      </c>
      <c r="Q403" t="s">
        <v>936</v>
      </c>
      <c r="R403" t="s">
        <v>793</v>
      </c>
      <c r="S403">
        <v>70.784999999999997</v>
      </c>
      <c r="T403">
        <v>2</v>
      </c>
      <c r="U403">
        <v>0.25</v>
      </c>
      <c r="V403">
        <v>9.4050000000000011</v>
      </c>
      <c r="W403" s="3">
        <v>3.4</v>
      </c>
      <c r="X403" t="s">
        <v>933</v>
      </c>
    </row>
    <row r="404" spans="1:24" x14ac:dyDescent="0.25">
      <c r="A404">
        <v>23168</v>
      </c>
      <c r="B404" t="s">
        <v>2011</v>
      </c>
      <c r="C404" s="1">
        <v>42320</v>
      </c>
      <c r="D404" s="1">
        <v>42324</v>
      </c>
      <c r="E404" t="s">
        <v>19</v>
      </c>
      <c r="F404" t="s">
        <v>1042</v>
      </c>
      <c r="G404" t="s">
        <v>554</v>
      </c>
      <c r="H404" t="s">
        <v>20</v>
      </c>
      <c r="I404" t="s">
        <v>906</v>
      </c>
      <c r="J404" t="s">
        <v>902</v>
      </c>
      <c r="K404" t="s">
        <v>903</v>
      </c>
      <c r="M404" t="s">
        <v>2991</v>
      </c>
      <c r="N404" t="s">
        <v>946</v>
      </c>
      <c r="O404" t="s">
        <v>1528</v>
      </c>
      <c r="P404" t="s">
        <v>22</v>
      </c>
      <c r="Q404" t="s">
        <v>935</v>
      </c>
      <c r="R404" t="s">
        <v>130</v>
      </c>
      <c r="S404">
        <v>70.603500000000011</v>
      </c>
      <c r="T404">
        <v>1</v>
      </c>
      <c r="U404">
        <v>0.45</v>
      </c>
      <c r="V404">
        <v>-44.956500000000005</v>
      </c>
      <c r="W404" s="3">
        <v>4.99</v>
      </c>
      <c r="X404" t="s">
        <v>931</v>
      </c>
    </row>
    <row r="405" spans="1:24" x14ac:dyDescent="0.25">
      <c r="A405">
        <v>28751</v>
      </c>
      <c r="B405" t="s">
        <v>2341</v>
      </c>
      <c r="C405" s="1">
        <v>42688</v>
      </c>
      <c r="D405" s="1">
        <v>42694</v>
      </c>
      <c r="E405" t="s">
        <v>19</v>
      </c>
      <c r="F405" t="s">
        <v>1100</v>
      </c>
      <c r="G405" t="s">
        <v>799</v>
      </c>
      <c r="H405" t="s">
        <v>39</v>
      </c>
      <c r="I405" t="s">
        <v>906</v>
      </c>
      <c r="J405" t="s">
        <v>902</v>
      </c>
      <c r="K405" t="s">
        <v>903</v>
      </c>
      <c r="M405" t="s">
        <v>2991</v>
      </c>
      <c r="N405" t="s">
        <v>946</v>
      </c>
      <c r="O405" t="s">
        <v>2666</v>
      </c>
      <c r="P405" t="s">
        <v>22</v>
      </c>
      <c r="Q405" t="s">
        <v>940</v>
      </c>
      <c r="R405" t="s">
        <v>823</v>
      </c>
      <c r="S405">
        <v>69.547500000000014</v>
      </c>
      <c r="T405">
        <v>3</v>
      </c>
      <c r="U405">
        <v>0.45</v>
      </c>
      <c r="V405">
        <v>-3.8025000000000091</v>
      </c>
      <c r="W405" s="3">
        <v>3.59</v>
      </c>
      <c r="X405" t="s">
        <v>933</v>
      </c>
    </row>
    <row r="406" spans="1:24" x14ac:dyDescent="0.25">
      <c r="A406">
        <v>26557</v>
      </c>
      <c r="B406" t="s">
        <v>2208</v>
      </c>
      <c r="C406" s="1">
        <v>42093</v>
      </c>
      <c r="D406" s="1">
        <v>42100</v>
      </c>
      <c r="E406" t="s">
        <v>19</v>
      </c>
      <c r="F406" t="s">
        <v>1200</v>
      </c>
      <c r="G406" t="s">
        <v>560</v>
      </c>
      <c r="H406" t="s">
        <v>39</v>
      </c>
      <c r="I406" t="s">
        <v>906</v>
      </c>
      <c r="J406" t="s">
        <v>902</v>
      </c>
      <c r="K406" t="s">
        <v>903</v>
      </c>
      <c r="M406" t="s">
        <v>2991</v>
      </c>
      <c r="N406" t="s">
        <v>946</v>
      </c>
      <c r="O406" t="s">
        <v>2764</v>
      </c>
      <c r="P406" t="s">
        <v>22</v>
      </c>
      <c r="Q406" t="s">
        <v>941</v>
      </c>
      <c r="R406" t="s">
        <v>817</v>
      </c>
      <c r="S406">
        <v>66.825000000000003</v>
      </c>
      <c r="T406">
        <v>9</v>
      </c>
      <c r="U406">
        <v>0.45</v>
      </c>
      <c r="V406">
        <v>-42.525000000000006</v>
      </c>
      <c r="W406" s="3">
        <v>2.74</v>
      </c>
      <c r="X406" t="s">
        <v>933</v>
      </c>
    </row>
    <row r="407" spans="1:24" x14ac:dyDescent="0.25">
      <c r="A407">
        <v>24113</v>
      </c>
      <c r="B407" t="s">
        <v>2063</v>
      </c>
      <c r="C407" s="1">
        <v>41582</v>
      </c>
      <c r="D407" s="1">
        <v>41584</v>
      </c>
      <c r="E407" t="s">
        <v>43</v>
      </c>
      <c r="F407" t="s">
        <v>1213</v>
      </c>
      <c r="G407" t="s">
        <v>214</v>
      </c>
      <c r="H407" t="s">
        <v>20</v>
      </c>
      <c r="I407" t="s">
        <v>906</v>
      </c>
      <c r="J407" t="s">
        <v>902</v>
      </c>
      <c r="K407" t="s">
        <v>903</v>
      </c>
      <c r="M407" t="s">
        <v>2991</v>
      </c>
      <c r="N407" t="s">
        <v>946</v>
      </c>
      <c r="O407" t="s">
        <v>2472</v>
      </c>
      <c r="P407" t="s">
        <v>31</v>
      </c>
      <c r="Q407" t="s">
        <v>945</v>
      </c>
      <c r="R407" t="s">
        <v>202</v>
      </c>
      <c r="S407">
        <v>65.587500000000006</v>
      </c>
      <c r="T407">
        <v>3</v>
      </c>
      <c r="U407">
        <v>0.45</v>
      </c>
      <c r="V407">
        <v>-32.242499999999993</v>
      </c>
      <c r="W407" s="3">
        <v>7.79</v>
      </c>
      <c r="X407" t="s">
        <v>931</v>
      </c>
    </row>
    <row r="408" spans="1:24" x14ac:dyDescent="0.25">
      <c r="A408">
        <v>28653</v>
      </c>
      <c r="B408" t="s">
        <v>2334</v>
      </c>
      <c r="C408" s="1">
        <v>41511</v>
      </c>
      <c r="D408" s="1">
        <v>41517</v>
      </c>
      <c r="E408" t="s">
        <v>19</v>
      </c>
      <c r="F408" t="s">
        <v>1076</v>
      </c>
      <c r="G408" t="s">
        <v>265</v>
      </c>
      <c r="H408" t="s">
        <v>39</v>
      </c>
      <c r="I408" t="s">
        <v>906</v>
      </c>
      <c r="J408" t="s">
        <v>902</v>
      </c>
      <c r="K408" t="s">
        <v>903</v>
      </c>
      <c r="M408" t="s">
        <v>2991</v>
      </c>
      <c r="N408" t="s">
        <v>946</v>
      </c>
      <c r="O408" t="s">
        <v>2495</v>
      </c>
      <c r="P408" t="s">
        <v>27</v>
      </c>
      <c r="Q408" t="s">
        <v>936</v>
      </c>
      <c r="R408" t="s">
        <v>386</v>
      </c>
      <c r="S408">
        <v>65.475000000000009</v>
      </c>
      <c r="T408">
        <v>2</v>
      </c>
      <c r="U408">
        <v>0.25</v>
      </c>
      <c r="V408">
        <v>-14.025000000000002</v>
      </c>
      <c r="W408" s="3">
        <v>4.1900000000000004</v>
      </c>
      <c r="X408" t="s">
        <v>933</v>
      </c>
    </row>
    <row r="409" spans="1:24" x14ac:dyDescent="0.25">
      <c r="A409">
        <v>24388</v>
      </c>
      <c r="B409" t="s">
        <v>2076</v>
      </c>
      <c r="C409" s="1">
        <v>42476</v>
      </c>
      <c r="D409" s="1">
        <v>42483</v>
      </c>
      <c r="E409" t="s">
        <v>19</v>
      </c>
      <c r="F409" t="s">
        <v>1080</v>
      </c>
      <c r="G409" t="s">
        <v>515</v>
      </c>
      <c r="H409" t="s">
        <v>20</v>
      </c>
      <c r="I409" t="s">
        <v>906</v>
      </c>
      <c r="J409" t="s">
        <v>902</v>
      </c>
      <c r="K409" t="s">
        <v>903</v>
      </c>
      <c r="M409" t="s">
        <v>2991</v>
      </c>
      <c r="N409" t="s">
        <v>946</v>
      </c>
      <c r="O409" t="s">
        <v>2760</v>
      </c>
      <c r="P409" t="s">
        <v>22</v>
      </c>
      <c r="Q409" t="s">
        <v>30</v>
      </c>
      <c r="R409" t="s">
        <v>101</v>
      </c>
      <c r="S409">
        <v>65.290500000000009</v>
      </c>
      <c r="T409">
        <v>3</v>
      </c>
      <c r="U409">
        <v>0.45</v>
      </c>
      <c r="V409">
        <v>-39.199500000000015</v>
      </c>
      <c r="W409" s="3">
        <v>2.5499999999999998</v>
      </c>
      <c r="X409" t="s">
        <v>933</v>
      </c>
    </row>
    <row r="410" spans="1:24" x14ac:dyDescent="0.25">
      <c r="A410">
        <v>29137</v>
      </c>
      <c r="B410" t="s">
        <v>2364</v>
      </c>
      <c r="C410" s="1">
        <v>41801</v>
      </c>
      <c r="D410" s="1">
        <v>41805</v>
      </c>
      <c r="E410" t="s">
        <v>43</v>
      </c>
      <c r="F410" t="s">
        <v>1140</v>
      </c>
      <c r="G410" t="s">
        <v>481</v>
      </c>
      <c r="H410" t="s">
        <v>20</v>
      </c>
      <c r="I410" t="s">
        <v>907</v>
      </c>
      <c r="J410" t="s">
        <v>902</v>
      </c>
      <c r="K410" t="s">
        <v>903</v>
      </c>
      <c r="M410" t="s">
        <v>2991</v>
      </c>
      <c r="N410" t="s">
        <v>946</v>
      </c>
      <c r="O410" t="s">
        <v>2652</v>
      </c>
      <c r="P410" t="s">
        <v>22</v>
      </c>
      <c r="Q410" t="s">
        <v>937</v>
      </c>
      <c r="R410" t="s">
        <v>400</v>
      </c>
      <c r="S410">
        <v>65.14200000000001</v>
      </c>
      <c r="T410">
        <v>4</v>
      </c>
      <c r="U410">
        <v>0.45</v>
      </c>
      <c r="V410">
        <v>-10.698000000000008</v>
      </c>
      <c r="W410" s="3">
        <v>3.49</v>
      </c>
      <c r="X410" t="s">
        <v>931</v>
      </c>
    </row>
    <row r="411" spans="1:24" x14ac:dyDescent="0.25">
      <c r="A411">
        <v>27487</v>
      </c>
      <c r="B411" t="s">
        <v>2276</v>
      </c>
      <c r="C411" s="1">
        <v>41823</v>
      </c>
      <c r="D411" s="1">
        <v>41827</v>
      </c>
      <c r="E411" t="s">
        <v>19</v>
      </c>
      <c r="F411" t="s">
        <v>1074</v>
      </c>
      <c r="G411" t="s">
        <v>65</v>
      </c>
      <c r="H411" t="s">
        <v>37</v>
      </c>
      <c r="I411" t="s">
        <v>914</v>
      </c>
      <c r="J411" t="s">
        <v>915</v>
      </c>
      <c r="K411" t="s">
        <v>903</v>
      </c>
      <c r="M411" t="s">
        <v>2991</v>
      </c>
      <c r="N411" t="s">
        <v>946</v>
      </c>
      <c r="O411" t="s">
        <v>2829</v>
      </c>
      <c r="P411" t="s">
        <v>22</v>
      </c>
      <c r="Q411" t="s">
        <v>937</v>
      </c>
      <c r="R411" t="s">
        <v>569</v>
      </c>
      <c r="S411">
        <v>65.010000000000005</v>
      </c>
      <c r="T411">
        <v>4</v>
      </c>
      <c r="U411">
        <v>0.45</v>
      </c>
      <c r="V411">
        <v>-53.19</v>
      </c>
      <c r="W411" s="3">
        <v>4.55</v>
      </c>
      <c r="X411" t="s">
        <v>931</v>
      </c>
    </row>
    <row r="412" spans="1:24" x14ac:dyDescent="0.25">
      <c r="A412">
        <v>23465</v>
      </c>
      <c r="B412" t="s">
        <v>2028</v>
      </c>
      <c r="C412" s="1">
        <v>42567</v>
      </c>
      <c r="D412" s="1">
        <v>42569</v>
      </c>
      <c r="E412" t="s">
        <v>43</v>
      </c>
      <c r="F412" t="s">
        <v>1151</v>
      </c>
      <c r="G412" t="s">
        <v>165</v>
      </c>
      <c r="H412" t="s">
        <v>20</v>
      </c>
      <c r="I412" t="s">
        <v>905</v>
      </c>
      <c r="J412" t="s">
        <v>902</v>
      </c>
      <c r="K412" t="s">
        <v>903</v>
      </c>
      <c r="M412" t="s">
        <v>2991</v>
      </c>
      <c r="N412" t="s">
        <v>946</v>
      </c>
      <c r="O412" t="s">
        <v>2884</v>
      </c>
      <c r="P412" t="s">
        <v>22</v>
      </c>
      <c r="Q412" t="s">
        <v>30</v>
      </c>
      <c r="R412" t="s">
        <v>40</v>
      </c>
      <c r="S412">
        <v>64.762499999999989</v>
      </c>
      <c r="T412">
        <v>5</v>
      </c>
      <c r="U412">
        <v>0.45</v>
      </c>
      <c r="V412">
        <v>-14.137499999999996</v>
      </c>
      <c r="W412" s="3">
        <v>11.59</v>
      </c>
      <c r="X412" t="s">
        <v>931</v>
      </c>
    </row>
    <row r="413" spans="1:24" x14ac:dyDescent="0.25">
      <c r="A413">
        <v>24068</v>
      </c>
      <c r="B413" t="s">
        <v>2062</v>
      </c>
      <c r="C413" s="1">
        <v>41518</v>
      </c>
      <c r="D413" s="1">
        <v>41521</v>
      </c>
      <c r="E413" t="s">
        <v>47</v>
      </c>
      <c r="F413" t="s">
        <v>1180</v>
      </c>
      <c r="G413" t="s">
        <v>485</v>
      </c>
      <c r="H413" t="s">
        <v>20</v>
      </c>
      <c r="I413" t="s">
        <v>906</v>
      </c>
      <c r="J413" t="s">
        <v>902</v>
      </c>
      <c r="K413" t="s">
        <v>903</v>
      </c>
      <c r="M413" t="s">
        <v>2991</v>
      </c>
      <c r="N413" t="s">
        <v>946</v>
      </c>
      <c r="O413" t="s">
        <v>2816</v>
      </c>
      <c r="P413" t="s">
        <v>22</v>
      </c>
      <c r="Q413" t="s">
        <v>940</v>
      </c>
      <c r="R413" t="s">
        <v>54</v>
      </c>
      <c r="S413">
        <v>64.350000000000023</v>
      </c>
      <c r="T413">
        <v>3</v>
      </c>
      <c r="U413">
        <v>0.45</v>
      </c>
      <c r="V413">
        <v>-32.760000000000012</v>
      </c>
      <c r="W413" s="3">
        <v>3.1</v>
      </c>
      <c r="X413" t="s">
        <v>931</v>
      </c>
    </row>
    <row r="414" spans="1:24" x14ac:dyDescent="0.25">
      <c r="A414">
        <v>28416</v>
      </c>
      <c r="B414" t="s">
        <v>2324</v>
      </c>
      <c r="C414" s="1">
        <v>41934</v>
      </c>
      <c r="D414" s="1">
        <v>41936</v>
      </c>
      <c r="E414" t="s">
        <v>43</v>
      </c>
      <c r="F414" t="s">
        <v>993</v>
      </c>
      <c r="G414" t="s">
        <v>774</v>
      </c>
      <c r="H414" t="s">
        <v>20</v>
      </c>
      <c r="I414" t="s">
        <v>906</v>
      </c>
      <c r="J414" t="s">
        <v>902</v>
      </c>
      <c r="K414" t="s">
        <v>903</v>
      </c>
      <c r="M414" t="s">
        <v>2991</v>
      </c>
      <c r="N414" t="s">
        <v>946</v>
      </c>
      <c r="O414" t="s">
        <v>2937</v>
      </c>
      <c r="P414" t="s">
        <v>22</v>
      </c>
      <c r="Q414" t="s">
        <v>937</v>
      </c>
      <c r="R414" t="s">
        <v>206</v>
      </c>
      <c r="S414">
        <v>62.568000000000005</v>
      </c>
      <c r="T414">
        <v>2</v>
      </c>
      <c r="U414">
        <v>0.45</v>
      </c>
      <c r="V414">
        <v>-36.432000000000002</v>
      </c>
      <c r="W414" s="3">
        <v>8.98</v>
      </c>
      <c r="X414" t="s">
        <v>931</v>
      </c>
    </row>
    <row r="415" spans="1:24" x14ac:dyDescent="0.25">
      <c r="A415">
        <v>21681</v>
      </c>
      <c r="B415" t="s">
        <v>1912</v>
      </c>
      <c r="C415" s="1">
        <v>42299</v>
      </c>
      <c r="D415" s="1">
        <v>42305</v>
      </c>
      <c r="E415" t="s">
        <v>19</v>
      </c>
      <c r="F415" t="s">
        <v>978</v>
      </c>
      <c r="G415" t="s">
        <v>496</v>
      </c>
      <c r="H415" t="s">
        <v>37</v>
      </c>
      <c r="I415" t="s">
        <v>906</v>
      </c>
      <c r="J415" t="s">
        <v>902</v>
      </c>
      <c r="K415" t="s">
        <v>903</v>
      </c>
      <c r="M415" t="s">
        <v>2991</v>
      </c>
      <c r="N415" t="s">
        <v>946</v>
      </c>
      <c r="O415" t="s">
        <v>2755</v>
      </c>
      <c r="P415" t="s">
        <v>22</v>
      </c>
      <c r="Q415" t="s">
        <v>69</v>
      </c>
      <c r="R415" t="s">
        <v>295</v>
      </c>
      <c r="S415">
        <v>62.502000000000017</v>
      </c>
      <c r="T415">
        <v>4</v>
      </c>
      <c r="U415">
        <v>0.45</v>
      </c>
      <c r="V415">
        <v>-29.658000000000005</v>
      </c>
      <c r="W415" s="3">
        <v>1.5</v>
      </c>
      <c r="X415" t="s">
        <v>933</v>
      </c>
    </row>
    <row r="416" spans="1:24" x14ac:dyDescent="0.25">
      <c r="A416">
        <v>23098</v>
      </c>
      <c r="B416" t="s">
        <v>2005</v>
      </c>
      <c r="C416" s="1">
        <v>41363</v>
      </c>
      <c r="D416" s="1">
        <v>41367</v>
      </c>
      <c r="E416" t="s">
        <v>19</v>
      </c>
      <c r="F416" t="s">
        <v>1230</v>
      </c>
      <c r="G416" t="s">
        <v>382</v>
      </c>
      <c r="H416" t="s">
        <v>20</v>
      </c>
      <c r="I416" t="s">
        <v>906</v>
      </c>
      <c r="J416" t="s">
        <v>902</v>
      </c>
      <c r="K416" t="s">
        <v>903</v>
      </c>
      <c r="M416" t="s">
        <v>2991</v>
      </c>
      <c r="N416" t="s">
        <v>946</v>
      </c>
      <c r="O416" t="s">
        <v>2563</v>
      </c>
      <c r="P416" t="s">
        <v>22</v>
      </c>
      <c r="Q416" t="s">
        <v>941</v>
      </c>
      <c r="R416" t="s">
        <v>625</v>
      </c>
      <c r="S416">
        <v>62.073000000000008</v>
      </c>
      <c r="T416">
        <v>6</v>
      </c>
      <c r="U416">
        <v>0.45</v>
      </c>
      <c r="V416">
        <v>-41.787000000000006</v>
      </c>
      <c r="W416" s="3">
        <v>5.96</v>
      </c>
      <c r="X416" t="s">
        <v>933</v>
      </c>
    </row>
    <row r="417" spans="1:24" x14ac:dyDescent="0.25">
      <c r="A417">
        <v>28569</v>
      </c>
      <c r="B417" t="s">
        <v>2329</v>
      </c>
      <c r="C417" s="1">
        <v>42735</v>
      </c>
      <c r="D417" s="1">
        <v>42008</v>
      </c>
      <c r="E417" t="s">
        <v>19</v>
      </c>
      <c r="F417" t="s">
        <v>1183</v>
      </c>
      <c r="G417" t="s">
        <v>459</v>
      </c>
      <c r="H417" t="s">
        <v>39</v>
      </c>
      <c r="I417" t="s">
        <v>906</v>
      </c>
      <c r="J417" t="s">
        <v>902</v>
      </c>
      <c r="K417" t="s">
        <v>903</v>
      </c>
      <c r="M417" t="s">
        <v>2991</v>
      </c>
      <c r="N417" t="s">
        <v>946</v>
      </c>
      <c r="O417" t="s">
        <v>2517</v>
      </c>
      <c r="P417" t="s">
        <v>31</v>
      </c>
      <c r="Q417" t="s">
        <v>945</v>
      </c>
      <c r="R417" t="s">
        <v>57</v>
      </c>
      <c r="S417">
        <v>61.974000000000011</v>
      </c>
      <c r="T417">
        <v>4</v>
      </c>
      <c r="U417">
        <v>0.45</v>
      </c>
      <c r="V417">
        <v>-37.266000000000005</v>
      </c>
      <c r="W417" s="3">
        <v>3.18</v>
      </c>
      <c r="X417" t="s">
        <v>933</v>
      </c>
    </row>
    <row r="418" spans="1:24" x14ac:dyDescent="0.25">
      <c r="A418">
        <v>25320</v>
      </c>
      <c r="B418" t="s">
        <v>2130</v>
      </c>
      <c r="C418" s="1">
        <v>41637</v>
      </c>
      <c r="D418" s="1">
        <v>41642</v>
      </c>
      <c r="E418" t="s">
        <v>19</v>
      </c>
      <c r="F418" t="s">
        <v>1261</v>
      </c>
      <c r="G418" t="s">
        <v>94</v>
      </c>
      <c r="H418" t="s">
        <v>39</v>
      </c>
      <c r="I418" t="s">
        <v>906</v>
      </c>
      <c r="J418" t="s">
        <v>902</v>
      </c>
      <c r="K418" t="s">
        <v>903</v>
      </c>
      <c r="M418" t="s">
        <v>2991</v>
      </c>
      <c r="N418" t="s">
        <v>946</v>
      </c>
      <c r="O418" t="s">
        <v>1837</v>
      </c>
      <c r="P418" t="s">
        <v>22</v>
      </c>
      <c r="Q418" t="s">
        <v>69</v>
      </c>
      <c r="R418" t="s">
        <v>766</v>
      </c>
      <c r="S418">
        <v>61.512000000000008</v>
      </c>
      <c r="T418">
        <v>4</v>
      </c>
      <c r="U418">
        <v>0.45</v>
      </c>
      <c r="V418">
        <v>-47.088000000000001</v>
      </c>
      <c r="W418" s="3">
        <v>2.63</v>
      </c>
      <c r="X418" t="s">
        <v>933</v>
      </c>
    </row>
    <row r="419" spans="1:24" x14ac:dyDescent="0.25">
      <c r="A419">
        <v>21502</v>
      </c>
      <c r="B419" t="s">
        <v>1905</v>
      </c>
      <c r="C419" s="1">
        <v>41510</v>
      </c>
      <c r="D419" s="1">
        <v>41513</v>
      </c>
      <c r="E419" t="s">
        <v>43</v>
      </c>
      <c r="F419" t="s">
        <v>1047</v>
      </c>
      <c r="G419" t="s">
        <v>406</v>
      </c>
      <c r="H419" t="s">
        <v>20</v>
      </c>
      <c r="I419" t="s">
        <v>906</v>
      </c>
      <c r="J419" t="s">
        <v>902</v>
      </c>
      <c r="K419" t="s">
        <v>903</v>
      </c>
      <c r="M419" t="s">
        <v>2991</v>
      </c>
      <c r="N419" t="s">
        <v>946</v>
      </c>
      <c r="O419" t="s">
        <v>2462</v>
      </c>
      <c r="P419" t="s">
        <v>22</v>
      </c>
      <c r="Q419" t="s">
        <v>937</v>
      </c>
      <c r="R419" t="s">
        <v>383</v>
      </c>
      <c r="S419">
        <v>61.446000000000005</v>
      </c>
      <c r="T419">
        <v>4</v>
      </c>
      <c r="U419">
        <v>0.45</v>
      </c>
      <c r="V419">
        <v>-6.7139999999999986</v>
      </c>
      <c r="W419" s="3">
        <v>11.6</v>
      </c>
      <c r="X419" t="s">
        <v>932</v>
      </c>
    </row>
    <row r="420" spans="1:24" x14ac:dyDescent="0.25">
      <c r="A420">
        <v>20306</v>
      </c>
      <c r="B420" t="s">
        <v>1842</v>
      </c>
      <c r="C420" s="1">
        <v>41466</v>
      </c>
      <c r="D420" s="1">
        <v>41470</v>
      </c>
      <c r="E420" t="s">
        <v>19</v>
      </c>
      <c r="F420" t="s">
        <v>1226</v>
      </c>
      <c r="G420" t="s">
        <v>641</v>
      </c>
      <c r="H420" t="s">
        <v>20</v>
      </c>
      <c r="I420" t="s">
        <v>906</v>
      </c>
      <c r="J420" t="s">
        <v>902</v>
      </c>
      <c r="K420" t="s">
        <v>903</v>
      </c>
      <c r="M420" t="s">
        <v>2991</v>
      </c>
      <c r="N420" t="s">
        <v>946</v>
      </c>
      <c r="O420" t="s">
        <v>2452</v>
      </c>
      <c r="P420" t="s">
        <v>22</v>
      </c>
      <c r="Q420" t="s">
        <v>940</v>
      </c>
      <c r="R420" t="s">
        <v>837</v>
      </c>
      <c r="S420">
        <v>61.281000000000006</v>
      </c>
      <c r="T420">
        <v>3</v>
      </c>
      <c r="U420">
        <v>0.45</v>
      </c>
      <c r="V420">
        <v>-25.659000000000002</v>
      </c>
      <c r="W420" s="3">
        <v>7.2</v>
      </c>
      <c r="X420" t="s">
        <v>931</v>
      </c>
    </row>
    <row r="421" spans="1:24" x14ac:dyDescent="0.25">
      <c r="A421">
        <v>22740</v>
      </c>
      <c r="B421" t="s">
        <v>1982</v>
      </c>
      <c r="C421" s="1">
        <v>41390</v>
      </c>
      <c r="D421" s="1">
        <v>41391</v>
      </c>
      <c r="E421" t="s">
        <v>47</v>
      </c>
      <c r="F421" t="s">
        <v>1372</v>
      </c>
      <c r="G421" t="s">
        <v>66</v>
      </c>
      <c r="H421" t="s">
        <v>20</v>
      </c>
      <c r="I421" t="s">
        <v>905</v>
      </c>
      <c r="J421" t="s">
        <v>902</v>
      </c>
      <c r="K421" t="s">
        <v>903</v>
      </c>
      <c r="M421" t="s">
        <v>2991</v>
      </c>
      <c r="N421" t="s">
        <v>946</v>
      </c>
      <c r="O421" t="s">
        <v>2865</v>
      </c>
      <c r="P421" t="s">
        <v>31</v>
      </c>
      <c r="Q421" t="s">
        <v>945</v>
      </c>
      <c r="R421" t="s">
        <v>123</v>
      </c>
      <c r="S421">
        <v>61.116000000000007</v>
      </c>
      <c r="T421">
        <v>2</v>
      </c>
      <c r="U421">
        <v>0.45</v>
      </c>
      <c r="V421">
        <v>-50.004000000000005</v>
      </c>
      <c r="W421" s="3">
        <v>12.25</v>
      </c>
      <c r="X421" t="s">
        <v>931</v>
      </c>
    </row>
    <row r="422" spans="1:24" x14ac:dyDescent="0.25">
      <c r="A422">
        <v>29904</v>
      </c>
      <c r="B422" t="s">
        <v>2408</v>
      </c>
      <c r="C422" s="1">
        <v>41851</v>
      </c>
      <c r="D422" s="1">
        <v>41856</v>
      </c>
      <c r="E422" t="s">
        <v>19</v>
      </c>
      <c r="F422" t="s">
        <v>1175</v>
      </c>
      <c r="G422" t="s">
        <v>578</v>
      </c>
      <c r="H422" t="s">
        <v>20</v>
      </c>
      <c r="I422" t="s">
        <v>906</v>
      </c>
      <c r="J422" t="s">
        <v>902</v>
      </c>
      <c r="K422" t="s">
        <v>903</v>
      </c>
      <c r="M422" t="s">
        <v>2991</v>
      </c>
      <c r="N422" t="s">
        <v>946</v>
      </c>
      <c r="O422" t="s">
        <v>2646</v>
      </c>
      <c r="P422" t="s">
        <v>22</v>
      </c>
      <c r="Q422" t="s">
        <v>935</v>
      </c>
      <c r="R422" t="s">
        <v>370</v>
      </c>
      <c r="S422">
        <v>60.654000000000003</v>
      </c>
      <c r="T422">
        <v>2</v>
      </c>
      <c r="U422">
        <v>0.45</v>
      </c>
      <c r="V422">
        <v>-15.486000000000004</v>
      </c>
      <c r="W422" s="3">
        <v>7.73</v>
      </c>
      <c r="X422" t="s">
        <v>933</v>
      </c>
    </row>
    <row r="423" spans="1:24" x14ac:dyDescent="0.25">
      <c r="A423">
        <v>29130</v>
      </c>
      <c r="B423" t="s">
        <v>2362</v>
      </c>
      <c r="C423" s="1">
        <v>41956</v>
      </c>
      <c r="D423" s="1">
        <v>41960</v>
      </c>
      <c r="E423" t="s">
        <v>19</v>
      </c>
      <c r="F423" t="s">
        <v>1114</v>
      </c>
      <c r="G423" t="s">
        <v>639</v>
      </c>
      <c r="H423" t="s">
        <v>20</v>
      </c>
      <c r="I423" t="s">
        <v>906</v>
      </c>
      <c r="J423" t="s">
        <v>902</v>
      </c>
      <c r="K423" t="s">
        <v>903</v>
      </c>
      <c r="M423" t="s">
        <v>2991</v>
      </c>
      <c r="N423" t="s">
        <v>946</v>
      </c>
      <c r="O423" t="s">
        <v>2875</v>
      </c>
      <c r="P423" t="s">
        <v>22</v>
      </c>
      <c r="Q423" t="s">
        <v>23</v>
      </c>
      <c r="R423" t="s">
        <v>733</v>
      </c>
      <c r="S423">
        <v>60.588000000000008</v>
      </c>
      <c r="T423">
        <v>9</v>
      </c>
      <c r="U423">
        <v>0.45</v>
      </c>
      <c r="V423">
        <v>-10.152000000000001</v>
      </c>
      <c r="W423" s="3">
        <v>7.58</v>
      </c>
      <c r="X423" t="s">
        <v>931</v>
      </c>
    </row>
    <row r="424" spans="1:24" x14ac:dyDescent="0.25">
      <c r="A424">
        <v>22969</v>
      </c>
      <c r="B424" t="s">
        <v>1994</v>
      </c>
      <c r="C424" s="1">
        <v>42530</v>
      </c>
      <c r="D424" s="1">
        <v>42534</v>
      </c>
      <c r="E424" t="s">
        <v>19</v>
      </c>
      <c r="F424" t="s">
        <v>1053</v>
      </c>
      <c r="G424" t="s">
        <v>451</v>
      </c>
      <c r="H424" t="s">
        <v>20</v>
      </c>
      <c r="I424" t="s">
        <v>909</v>
      </c>
      <c r="J424" t="s">
        <v>902</v>
      </c>
      <c r="K424" t="s">
        <v>903</v>
      </c>
      <c r="M424" t="s">
        <v>2991</v>
      </c>
      <c r="N424" t="s">
        <v>946</v>
      </c>
      <c r="O424" t="s">
        <v>2882</v>
      </c>
      <c r="P424" t="s">
        <v>22</v>
      </c>
      <c r="Q424" t="s">
        <v>30</v>
      </c>
      <c r="R424" t="s">
        <v>128</v>
      </c>
      <c r="S424">
        <v>59.994</v>
      </c>
      <c r="T424">
        <v>6</v>
      </c>
      <c r="U424">
        <v>0.45</v>
      </c>
      <c r="V424">
        <v>-3.3660000000000068</v>
      </c>
      <c r="W424" s="3">
        <v>8.6199999999999992</v>
      </c>
      <c r="X424" t="s">
        <v>931</v>
      </c>
    </row>
    <row r="425" spans="1:24" x14ac:dyDescent="0.25">
      <c r="A425">
        <v>27864</v>
      </c>
      <c r="B425" t="s">
        <v>2296</v>
      </c>
      <c r="C425" s="1">
        <v>41564</v>
      </c>
      <c r="D425" s="1">
        <v>41570</v>
      </c>
      <c r="E425" t="s">
        <v>19</v>
      </c>
      <c r="F425" t="s">
        <v>1193</v>
      </c>
      <c r="G425" t="s">
        <v>124</v>
      </c>
      <c r="H425" t="s">
        <v>20</v>
      </c>
      <c r="I425" t="s">
        <v>906</v>
      </c>
      <c r="J425" t="s">
        <v>902</v>
      </c>
      <c r="K425" t="s">
        <v>903</v>
      </c>
      <c r="M425" t="s">
        <v>2991</v>
      </c>
      <c r="N425" t="s">
        <v>946</v>
      </c>
      <c r="O425" t="s">
        <v>2571</v>
      </c>
      <c r="P425" t="s">
        <v>22</v>
      </c>
      <c r="Q425" t="s">
        <v>935</v>
      </c>
      <c r="R425" t="s">
        <v>318</v>
      </c>
      <c r="S425">
        <v>59.664000000000001</v>
      </c>
      <c r="T425">
        <v>2</v>
      </c>
      <c r="U425">
        <v>0.45</v>
      </c>
      <c r="V425">
        <v>-3.2759999999999962</v>
      </c>
      <c r="W425" s="3">
        <v>4.95</v>
      </c>
      <c r="X425" t="s">
        <v>933</v>
      </c>
    </row>
    <row r="426" spans="1:24" x14ac:dyDescent="0.25">
      <c r="A426">
        <v>29534</v>
      </c>
      <c r="B426" t="s">
        <v>2381</v>
      </c>
      <c r="C426" s="1">
        <v>42672</v>
      </c>
      <c r="D426" s="1">
        <v>42672</v>
      </c>
      <c r="E426" t="s">
        <v>58</v>
      </c>
      <c r="F426" t="s">
        <v>1008</v>
      </c>
      <c r="G426" t="s">
        <v>621</v>
      </c>
      <c r="H426" t="s">
        <v>39</v>
      </c>
      <c r="I426" t="s">
        <v>906</v>
      </c>
      <c r="J426" t="s">
        <v>902</v>
      </c>
      <c r="K426" t="s">
        <v>903</v>
      </c>
      <c r="M426" t="s">
        <v>2991</v>
      </c>
      <c r="N426" t="s">
        <v>946</v>
      </c>
      <c r="O426" t="s">
        <v>2840</v>
      </c>
      <c r="P426" t="s">
        <v>22</v>
      </c>
      <c r="Q426" t="s">
        <v>937</v>
      </c>
      <c r="R426" t="s">
        <v>892</v>
      </c>
      <c r="S426">
        <v>59.004000000000005</v>
      </c>
      <c r="T426">
        <v>2</v>
      </c>
      <c r="U426">
        <v>0.45</v>
      </c>
      <c r="V426">
        <v>-7.5360000000000014</v>
      </c>
      <c r="W426" s="3">
        <v>14.24</v>
      </c>
      <c r="X426" t="s">
        <v>932</v>
      </c>
    </row>
    <row r="427" spans="1:24" x14ac:dyDescent="0.25">
      <c r="A427">
        <v>29825</v>
      </c>
      <c r="B427" t="s">
        <v>2397</v>
      </c>
      <c r="C427" s="1">
        <v>41452</v>
      </c>
      <c r="D427" s="1">
        <v>41454</v>
      </c>
      <c r="E427" t="s">
        <v>47</v>
      </c>
      <c r="F427" t="s">
        <v>1001</v>
      </c>
      <c r="G427" t="s">
        <v>207</v>
      </c>
      <c r="H427" t="s">
        <v>37</v>
      </c>
      <c r="I427" t="s">
        <v>906</v>
      </c>
      <c r="J427" t="s">
        <v>902</v>
      </c>
      <c r="K427" t="s">
        <v>903</v>
      </c>
      <c r="M427" t="s">
        <v>2991</v>
      </c>
      <c r="N427" t="s">
        <v>946</v>
      </c>
      <c r="O427" t="s">
        <v>2647</v>
      </c>
      <c r="P427" t="s">
        <v>22</v>
      </c>
      <c r="Q427" t="s">
        <v>30</v>
      </c>
      <c r="R427" t="s">
        <v>561</v>
      </c>
      <c r="S427">
        <v>58.674000000000007</v>
      </c>
      <c r="T427">
        <v>7</v>
      </c>
      <c r="U427">
        <v>0.45</v>
      </c>
      <c r="V427">
        <v>-33.096000000000004</v>
      </c>
      <c r="W427" s="3">
        <v>0.44</v>
      </c>
      <c r="X427" t="s">
        <v>931</v>
      </c>
    </row>
    <row r="428" spans="1:24" x14ac:dyDescent="0.25">
      <c r="A428">
        <v>22777</v>
      </c>
      <c r="B428" t="s">
        <v>1986</v>
      </c>
      <c r="C428" s="1">
        <v>42294</v>
      </c>
      <c r="D428" s="1">
        <v>42298</v>
      </c>
      <c r="E428" t="s">
        <v>19</v>
      </c>
      <c r="F428" t="s">
        <v>1367</v>
      </c>
      <c r="G428" t="s">
        <v>394</v>
      </c>
      <c r="H428" t="s">
        <v>39</v>
      </c>
      <c r="I428" t="s">
        <v>906</v>
      </c>
      <c r="J428" t="s">
        <v>902</v>
      </c>
      <c r="K428" t="s">
        <v>903</v>
      </c>
      <c r="M428" t="s">
        <v>2991</v>
      </c>
      <c r="N428" t="s">
        <v>946</v>
      </c>
      <c r="O428" t="s">
        <v>2475</v>
      </c>
      <c r="P428" t="s">
        <v>22</v>
      </c>
      <c r="Q428" t="s">
        <v>937</v>
      </c>
      <c r="R428" t="s">
        <v>781</v>
      </c>
      <c r="S428">
        <v>58.608000000000004</v>
      </c>
      <c r="T428">
        <v>4</v>
      </c>
      <c r="U428">
        <v>0.45</v>
      </c>
      <c r="V428">
        <v>-40.512000000000008</v>
      </c>
      <c r="W428" s="3">
        <v>4.43</v>
      </c>
      <c r="X428" t="s">
        <v>933</v>
      </c>
    </row>
    <row r="429" spans="1:24" x14ac:dyDescent="0.25">
      <c r="A429">
        <v>22241</v>
      </c>
      <c r="B429" t="s">
        <v>1945</v>
      </c>
      <c r="C429" s="1">
        <v>42378</v>
      </c>
      <c r="D429" s="1">
        <v>42383</v>
      </c>
      <c r="E429" t="s">
        <v>19</v>
      </c>
      <c r="F429" t="s">
        <v>1159</v>
      </c>
      <c r="G429" t="s">
        <v>106</v>
      </c>
      <c r="H429" t="s">
        <v>37</v>
      </c>
      <c r="I429" t="s">
        <v>906</v>
      </c>
      <c r="J429" t="s">
        <v>902</v>
      </c>
      <c r="K429" t="s">
        <v>903</v>
      </c>
      <c r="M429" t="s">
        <v>2991</v>
      </c>
      <c r="N429" t="s">
        <v>946</v>
      </c>
      <c r="O429" t="s">
        <v>2475</v>
      </c>
      <c r="P429" t="s">
        <v>22</v>
      </c>
      <c r="Q429" t="s">
        <v>937</v>
      </c>
      <c r="R429" t="s">
        <v>781</v>
      </c>
      <c r="S429">
        <v>58.608000000000004</v>
      </c>
      <c r="T429">
        <v>4</v>
      </c>
      <c r="U429">
        <v>0.45</v>
      </c>
      <c r="V429">
        <v>-40.512000000000008</v>
      </c>
      <c r="W429" s="3">
        <v>3.26</v>
      </c>
      <c r="X429" t="s">
        <v>933</v>
      </c>
    </row>
    <row r="430" spans="1:24" x14ac:dyDescent="0.25">
      <c r="A430">
        <v>25677</v>
      </c>
      <c r="B430" t="s">
        <v>2151</v>
      </c>
      <c r="C430" s="1">
        <v>42516</v>
      </c>
      <c r="D430" s="1">
        <v>42520</v>
      </c>
      <c r="E430" t="s">
        <v>43</v>
      </c>
      <c r="F430" t="s">
        <v>1017</v>
      </c>
      <c r="G430" t="s">
        <v>269</v>
      </c>
      <c r="H430" t="s">
        <v>39</v>
      </c>
      <c r="I430" t="s">
        <v>906</v>
      </c>
      <c r="J430" t="s">
        <v>902</v>
      </c>
      <c r="K430" t="s">
        <v>903</v>
      </c>
      <c r="M430" t="s">
        <v>2991</v>
      </c>
      <c r="N430" t="s">
        <v>946</v>
      </c>
      <c r="O430" t="s">
        <v>2712</v>
      </c>
      <c r="P430" t="s">
        <v>22</v>
      </c>
      <c r="Q430" t="s">
        <v>69</v>
      </c>
      <c r="R430" t="s">
        <v>88</v>
      </c>
      <c r="S430">
        <v>58.41</v>
      </c>
      <c r="T430">
        <v>4</v>
      </c>
      <c r="U430">
        <v>0.45</v>
      </c>
      <c r="V430">
        <v>2.0100000000000051</v>
      </c>
      <c r="W430" s="3">
        <v>4.49</v>
      </c>
      <c r="X430" t="s">
        <v>933</v>
      </c>
    </row>
    <row r="431" spans="1:24" x14ac:dyDescent="0.25">
      <c r="A431">
        <v>26965</v>
      </c>
      <c r="B431" t="s">
        <v>2231</v>
      </c>
      <c r="C431" s="1">
        <v>42625</v>
      </c>
      <c r="D431" s="1">
        <v>42631</v>
      </c>
      <c r="E431" t="s">
        <v>19</v>
      </c>
      <c r="F431" t="s">
        <v>1335</v>
      </c>
      <c r="G431" t="s">
        <v>431</v>
      </c>
      <c r="H431" t="s">
        <v>20</v>
      </c>
      <c r="I431" t="s">
        <v>914</v>
      </c>
      <c r="J431" t="s">
        <v>915</v>
      </c>
      <c r="K431" t="s">
        <v>903</v>
      </c>
      <c r="M431" t="s">
        <v>2991</v>
      </c>
      <c r="N431" t="s">
        <v>946</v>
      </c>
      <c r="O431" t="s">
        <v>2480</v>
      </c>
      <c r="P431" t="s">
        <v>22</v>
      </c>
      <c r="Q431" t="s">
        <v>23</v>
      </c>
      <c r="R431" t="s">
        <v>110</v>
      </c>
      <c r="S431">
        <v>58.063500000000012</v>
      </c>
      <c r="T431">
        <v>9</v>
      </c>
      <c r="U431">
        <v>0.45</v>
      </c>
      <c r="V431">
        <v>-2.1465000000000032</v>
      </c>
      <c r="W431" s="3">
        <v>5.0199999999999996</v>
      </c>
      <c r="X431" t="s">
        <v>933</v>
      </c>
    </row>
    <row r="432" spans="1:24" x14ac:dyDescent="0.25">
      <c r="A432">
        <v>22282</v>
      </c>
      <c r="B432" t="s">
        <v>1949</v>
      </c>
      <c r="C432" s="1">
        <v>42015</v>
      </c>
      <c r="D432" s="1">
        <v>42019</v>
      </c>
      <c r="E432" t="s">
        <v>43</v>
      </c>
      <c r="F432" t="s">
        <v>1426</v>
      </c>
      <c r="G432" t="s">
        <v>544</v>
      </c>
      <c r="H432" t="s">
        <v>37</v>
      </c>
      <c r="I432" t="s">
        <v>905</v>
      </c>
      <c r="J432" t="s">
        <v>902</v>
      </c>
      <c r="K432" t="s">
        <v>903</v>
      </c>
      <c r="M432" t="s">
        <v>2991</v>
      </c>
      <c r="N432" t="s">
        <v>946</v>
      </c>
      <c r="O432" t="s">
        <v>2820</v>
      </c>
      <c r="P432" t="s">
        <v>22</v>
      </c>
      <c r="Q432" t="s">
        <v>50</v>
      </c>
      <c r="R432" t="s">
        <v>842</v>
      </c>
      <c r="S432">
        <v>56.890500000000003</v>
      </c>
      <c r="T432">
        <v>1</v>
      </c>
      <c r="U432">
        <v>0.15000000000000002</v>
      </c>
      <c r="V432">
        <v>-7.3695000000000022</v>
      </c>
      <c r="W432" s="3">
        <v>7.49</v>
      </c>
      <c r="X432" t="s">
        <v>933</v>
      </c>
    </row>
    <row r="433" spans="1:24" x14ac:dyDescent="0.25">
      <c r="A433">
        <v>20649</v>
      </c>
      <c r="B433" t="s">
        <v>1858</v>
      </c>
      <c r="C433" s="1">
        <v>42568</v>
      </c>
      <c r="D433" s="1">
        <v>42573</v>
      </c>
      <c r="E433" t="s">
        <v>19</v>
      </c>
      <c r="F433" t="s">
        <v>1198</v>
      </c>
      <c r="G433" t="s">
        <v>305</v>
      </c>
      <c r="H433" t="s">
        <v>20</v>
      </c>
      <c r="I433" t="s">
        <v>921</v>
      </c>
      <c r="J433" t="s">
        <v>902</v>
      </c>
      <c r="K433" t="s">
        <v>903</v>
      </c>
      <c r="M433" t="s">
        <v>2991</v>
      </c>
      <c r="N433" t="s">
        <v>946</v>
      </c>
      <c r="O433" t="s">
        <v>2562</v>
      </c>
      <c r="P433" t="s">
        <v>22</v>
      </c>
      <c r="Q433" t="s">
        <v>23</v>
      </c>
      <c r="R433" t="s">
        <v>475</v>
      </c>
      <c r="S433">
        <v>56.363999999999997</v>
      </c>
      <c r="T433">
        <v>8</v>
      </c>
      <c r="U433">
        <v>0.45</v>
      </c>
      <c r="V433">
        <v>-22.596</v>
      </c>
      <c r="W433" s="3">
        <v>2.09</v>
      </c>
      <c r="X433" t="s">
        <v>933</v>
      </c>
    </row>
    <row r="434" spans="1:24" x14ac:dyDescent="0.25">
      <c r="A434">
        <v>28305</v>
      </c>
      <c r="B434" t="s">
        <v>2320</v>
      </c>
      <c r="C434" s="1">
        <v>42451</v>
      </c>
      <c r="D434" s="1">
        <v>42453</v>
      </c>
      <c r="E434" t="s">
        <v>43</v>
      </c>
      <c r="F434" t="s">
        <v>1056</v>
      </c>
      <c r="G434" t="s">
        <v>308</v>
      </c>
      <c r="H434" t="s">
        <v>20</v>
      </c>
      <c r="I434" t="s">
        <v>921</v>
      </c>
      <c r="J434" t="s">
        <v>902</v>
      </c>
      <c r="K434" t="s">
        <v>903</v>
      </c>
      <c r="M434" t="s">
        <v>2991</v>
      </c>
      <c r="N434" t="s">
        <v>946</v>
      </c>
      <c r="O434" t="s">
        <v>2913</v>
      </c>
      <c r="P434" t="s">
        <v>22</v>
      </c>
      <c r="Q434" t="s">
        <v>30</v>
      </c>
      <c r="R434" t="s">
        <v>103</v>
      </c>
      <c r="S434">
        <v>56.067000000000014</v>
      </c>
      <c r="T434">
        <v>2</v>
      </c>
      <c r="U434">
        <v>0.45</v>
      </c>
      <c r="V434">
        <v>-33.693000000000005</v>
      </c>
      <c r="W434" s="3">
        <v>4.5999999999999996</v>
      </c>
      <c r="X434" t="s">
        <v>931</v>
      </c>
    </row>
    <row r="435" spans="1:24" x14ac:dyDescent="0.25">
      <c r="A435">
        <v>29761</v>
      </c>
      <c r="B435" t="s">
        <v>2394</v>
      </c>
      <c r="C435" s="1">
        <v>42162</v>
      </c>
      <c r="D435" s="1">
        <v>42167</v>
      </c>
      <c r="E435" t="s">
        <v>19</v>
      </c>
      <c r="F435" t="s">
        <v>1083</v>
      </c>
      <c r="G435" t="s">
        <v>233</v>
      </c>
      <c r="H435" t="s">
        <v>20</v>
      </c>
      <c r="I435" t="s">
        <v>906</v>
      </c>
      <c r="J435" t="s">
        <v>902</v>
      </c>
      <c r="K435" t="s">
        <v>903</v>
      </c>
      <c r="M435" t="s">
        <v>2991</v>
      </c>
      <c r="N435" t="s">
        <v>946</v>
      </c>
      <c r="O435" t="s">
        <v>2465</v>
      </c>
      <c r="P435" t="s">
        <v>22</v>
      </c>
      <c r="Q435" t="s">
        <v>937</v>
      </c>
      <c r="R435" t="s">
        <v>117</v>
      </c>
      <c r="S435">
        <v>55.572000000000003</v>
      </c>
      <c r="T435">
        <v>2</v>
      </c>
      <c r="U435">
        <v>0.45</v>
      </c>
      <c r="V435">
        <v>-19.247999999999998</v>
      </c>
      <c r="W435" s="3">
        <v>6.35</v>
      </c>
      <c r="X435" t="s">
        <v>933</v>
      </c>
    </row>
    <row r="436" spans="1:24" x14ac:dyDescent="0.25">
      <c r="A436">
        <v>26732</v>
      </c>
      <c r="B436" t="s">
        <v>2217</v>
      </c>
      <c r="C436" s="1">
        <v>42032</v>
      </c>
      <c r="D436" s="1">
        <v>42034</v>
      </c>
      <c r="E436" t="s">
        <v>47</v>
      </c>
      <c r="F436" t="s">
        <v>1073</v>
      </c>
      <c r="G436" t="s">
        <v>444</v>
      </c>
      <c r="H436" t="s">
        <v>39</v>
      </c>
      <c r="I436" t="s">
        <v>906</v>
      </c>
      <c r="J436" t="s">
        <v>902</v>
      </c>
      <c r="K436" t="s">
        <v>903</v>
      </c>
      <c r="M436" t="s">
        <v>2991</v>
      </c>
      <c r="N436" t="s">
        <v>946</v>
      </c>
      <c r="O436" t="s">
        <v>2532</v>
      </c>
      <c r="P436" t="s">
        <v>22</v>
      </c>
      <c r="Q436" t="s">
        <v>30</v>
      </c>
      <c r="R436" t="s">
        <v>704</v>
      </c>
      <c r="S436">
        <v>55.506000000000007</v>
      </c>
      <c r="T436">
        <v>2</v>
      </c>
      <c r="U436">
        <v>0.45</v>
      </c>
      <c r="V436">
        <v>-10.134</v>
      </c>
      <c r="W436" s="3">
        <v>9.1999999999999993</v>
      </c>
      <c r="X436" t="s">
        <v>931</v>
      </c>
    </row>
    <row r="437" spans="1:24" x14ac:dyDescent="0.25">
      <c r="A437">
        <v>27403</v>
      </c>
      <c r="B437" t="s">
        <v>2270</v>
      </c>
      <c r="C437" s="1">
        <v>42590</v>
      </c>
      <c r="D437" s="1">
        <v>42595</v>
      </c>
      <c r="E437" t="s">
        <v>19</v>
      </c>
      <c r="F437" t="s">
        <v>1166</v>
      </c>
      <c r="G437" t="s">
        <v>102</v>
      </c>
      <c r="H437" t="s">
        <v>37</v>
      </c>
      <c r="I437" t="s">
        <v>906</v>
      </c>
      <c r="J437" t="s">
        <v>902</v>
      </c>
      <c r="K437" t="s">
        <v>903</v>
      </c>
      <c r="M437" t="s">
        <v>2991</v>
      </c>
      <c r="N437" t="s">
        <v>946</v>
      </c>
      <c r="O437" t="s">
        <v>2731</v>
      </c>
      <c r="P437" t="s">
        <v>22</v>
      </c>
      <c r="Q437" t="s">
        <v>50</v>
      </c>
      <c r="R437" t="s">
        <v>392</v>
      </c>
      <c r="S437">
        <v>55.360499999999995</v>
      </c>
      <c r="T437">
        <v>1</v>
      </c>
      <c r="U437">
        <v>0.15000000000000002</v>
      </c>
      <c r="V437">
        <v>-7.1895000000000007</v>
      </c>
      <c r="W437" s="3">
        <v>4.74</v>
      </c>
      <c r="X437" t="s">
        <v>931</v>
      </c>
    </row>
    <row r="438" spans="1:24" x14ac:dyDescent="0.25">
      <c r="A438">
        <v>24481</v>
      </c>
      <c r="B438" t="s">
        <v>2081</v>
      </c>
      <c r="C438" s="1">
        <v>41424</v>
      </c>
      <c r="D438" s="1">
        <v>41428</v>
      </c>
      <c r="E438" t="s">
        <v>43</v>
      </c>
      <c r="F438" t="s">
        <v>1228</v>
      </c>
      <c r="G438" t="s">
        <v>508</v>
      </c>
      <c r="H438" t="s">
        <v>39</v>
      </c>
      <c r="I438" t="s">
        <v>906</v>
      </c>
      <c r="J438" t="s">
        <v>902</v>
      </c>
      <c r="K438" t="s">
        <v>903</v>
      </c>
      <c r="M438" t="s">
        <v>2991</v>
      </c>
      <c r="N438" t="s">
        <v>946</v>
      </c>
      <c r="O438" t="s">
        <v>2579</v>
      </c>
      <c r="P438" t="s">
        <v>22</v>
      </c>
      <c r="Q438" t="s">
        <v>941</v>
      </c>
      <c r="R438" t="s">
        <v>595</v>
      </c>
      <c r="S438">
        <v>55.044000000000011</v>
      </c>
      <c r="T438">
        <v>6</v>
      </c>
      <c r="U438">
        <v>0.45</v>
      </c>
      <c r="V438">
        <v>-3.6000000000001364E-2</v>
      </c>
      <c r="W438" s="3">
        <v>6.6</v>
      </c>
      <c r="X438" t="s">
        <v>931</v>
      </c>
    </row>
    <row r="439" spans="1:24" x14ac:dyDescent="0.25">
      <c r="A439">
        <v>21220</v>
      </c>
      <c r="B439" t="s">
        <v>1888</v>
      </c>
      <c r="C439" s="1">
        <v>41780</v>
      </c>
      <c r="D439" s="1">
        <v>41787</v>
      </c>
      <c r="E439" t="s">
        <v>19</v>
      </c>
      <c r="F439" t="s">
        <v>1160</v>
      </c>
      <c r="G439" t="s">
        <v>623</v>
      </c>
      <c r="H439" t="s">
        <v>39</v>
      </c>
      <c r="I439" t="s">
        <v>905</v>
      </c>
      <c r="J439" t="s">
        <v>902</v>
      </c>
      <c r="K439" t="s">
        <v>903</v>
      </c>
      <c r="M439" t="s">
        <v>2991</v>
      </c>
      <c r="N439" t="s">
        <v>946</v>
      </c>
      <c r="O439" t="s">
        <v>1825</v>
      </c>
      <c r="P439" t="s">
        <v>22</v>
      </c>
      <c r="Q439" t="s">
        <v>69</v>
      </c>
      <c r="R439" t="s">
        <v>356</v>
      </c>
      <c r="S439">
        <v>54.747</v>
      </c>
      <c r="T439">
        <v>6</v>
      </c>
      <c r="U439">
        <v>0.45</v>
      </c>
      <c r="V439">
        <v>-34.892999999999994</v>
      </c>
      <c r="W439" s="3">
        <v>4.3499999999999996</v>
      </c>
      <c r="X439" t="s">
        <v>933</v>
      </c>
    </row>
    <row r="440" spans="1:24" x14ac:dyDescent="0.25">
      <c r="A440">
        <v>29828</v>
      </c>
      <c r="B440" t="s">
        <v>2399</v>
      </c>
      <c r="C440" s="1">
        <v>41616</v>
      </c>
      <c r="D440" s="1">
        <v>41620</v>
      </c>
      <c r="E440" t="s">
        <v>19</v>
      </c>
      <c r="F440" t="s">
        <v>1089</v>
      </c>
      <c r="G440" t="s">
        <v>663</v>
      </c>
      <c r="H440" t="s">
        <v>37</v>
      </c>
      <c r="I440" t="s">
        <v>906</v>
      </c>
      <c r="J440" t="s">
        <v>902</v>
      </c>
      <c r="K440" t="s">
        <v>903</v>
      </c>
      <c r="M440" t="s">
        <v>2991</v>
      </c>
      <c r="N440" t="s">
        <v>946</v>
      </c>
      <c r="O440" t="s">
        <v>2769</v>
      </c>
      <c r="P440" t="s">
        <v>22</v>
      </c>
      <c r="Q440" t="s">
        <v>30</v>
      </c>
      <c r="R440" t="s">
        <v>194</v>
      </c>
      <c r="S440">
        <v>54.582000000000001</v>
      </c>
      <c r="T440">
        <v>4</v>
      </c>
      <c r="U440">
        <v>0.45</v>
      </c>
      <c r="V440">
        <v>-43.698</v>
      </c>
      <c r="W440" s="3">
        <v>4.5999999999999996</v>
      </c>
      <c r="X440" t="s">
        <v>933</v>
      </c>
    </row>
    <row r="441" spans="1:24" x14ac:dyDescent="0.25">
      <c r="A441">
        <v>23176</v>
      </c>
      <c r="B441" t="s">
        <v>2012</v>
      </c>
      <c r="C441" s="1">
        <v>42404</v>
      </c>
      <c r="D441" s="1">
        <v>42407</v>
      </c>
      <c r="E441" t="s">
        <v>47</v>
      </c>
      <c r="F441" t="s">
        <v>1364</v>
      </c>
      <c r="G441" t="s">
        <v>186</v>
      </c>
      <c r="H441" t="s">
        <v>39</v>
      </c>
      <c r="I441" t="s">
        <v>906</v>
      </c>
      <c r="J441" t="s">
        <v>902</v>
      </c>
      <c r="K441" t="s">
        <v>903</v>
      </c>
      <c r="M441" t="s">
        <v>2991</v>
      </c>
      <c r="N441" t="s">
        <v>946</v>
      </c>
      <c r="O441" t="s">
        <v>2508</v>
      </c>
      <c r="P441" t="s">
        <v>22</v>
      </c>
      <c r="Q441" t="s">
        <v>937</v>
      </c>
      <c r="R441" t="s">
        <v>884</v>
      </c>
      <c r="S441">
        <v>54.45</v>
      </c>
      <c r="T441">
        <v>2</v>
      </c>
      <c r="U441">
        <v>0.45</v>
      </c>
      <c r="V441">
        <v>-30.690000000000005</v>
      </c>
      <c r="W441" s="3">
        <v>8.57</v>
      </c>
      <c r="X441" t="s">
        <v>933</v>
      </c>
    </row>
    <row r="442" spans="1:24" x14ac:dyDescent="0.25">
      <c r="A442">
        <v>28838</v>
      </c>
      <c r="B442" t="s">
        <v>2345</v>
      </c>
      <c r="C442" s="1">
        <v>42705</v>
      </c>
      <c r="D442" s="1">
        <v>42709</v>
      </c>
      <c r="E442" t="s">
        <v>19</v>
      </c>
      <c r="F442" t="s">
        <v>1293</v>
      </c>
      <c r="G442" t="s">
        <v>166</v>
      </c>
      <c r="H442" t="s">
        <v>37</v>
      </c>
      <c r="I442" t="s">
        <v>906</v>
      </c>
      <c r="J442" t="s">
        <v>902</v>
      </c>
      <c r="K442" t="s">
        <v>903</v>
      </c>
      <c r="M442" t="s">
        <v>2991</v>
      </c>
      <c r="N442" t="s">
        <v>946</v>
      </c>
      <c r="O442" t="s">
        <v>2893</v>
      </c>
      <c r="P442" t="s">
        <v>22</v>
      </c>
      <c r="Q442" t="s">
        <v>935</v>
      </c>
      <c r="R442" t="s">
        <v>437</v>
      </c>
      <c r="S442">
        <v>54.350999999999999</v>
      </c>
      <c r="T442">
        <v>2</v>
      </c>
      <c r="U442">
        <v>0.45</v>
      </c>
      <c r="V442">
        <v>-34.629000000000005</v>
      </c>
      <c r="W442" s="3">
        <v>2.48</v>
      </c>
      <c r="X442" t="s">
        <v>933</v>
      </c>
    </row>
    <row r="443" spans="1:24" x14ac:dyDescent="0.25">
      <c r="A443">
        <v>22183</v>
      </c>
      <c r="B443" t="s">
        <v>1940</v>
      </c>
      <c r="C443" s="1">
        <v>41552</v>
      </c>
      <c r="D443" s="1">
        <v>41555</v>
      </c>
      <c r="E443" t="s">
        <v>47</v>
      </c>
      <c r="F443" t="s">
        <v>968</v>
      </c>
      <c r="G443" t="s">
        <v>597</v>
      </c>
      <c r="H443" t="s">
        <v>37</v>
      </c>
      <c r="I443" t="s">
        <v>906</v>
      </c>
      <c r="J443" t="s">
        <v>902</v>
      </c>
      <c r="K443" t="s">
        <v>903</v>
      </c>
      <c r="M443" t="s">
        <v>2991</v>
      </c>
      <c r="N443" t="s">
        <v>946</v>
      </c>
      <c r="O443" t="s">
        <v>2756</v>
      </c>
      <c r="P443" t="s">
        <v>22</v>
      </c>
      <c r="Q443" t="s">
        <v>942</v>
      </c>
      <c r="R443" t="s">
        <v>582</v>
      </c>
      <c r="S443">
        <v>53.93249999999999</v>
      </c>
      <c r="T443">
        <v>5</v>
      </c>
      <c r="U443">
        <v>0.15000000000000002</v>
      </c>
      <c r="V443">
        <v>15.082500000000001</v>
      </c>
      <c r="W443" s="3">
        <v>10.86</v>
      </c>
      <c r="X443" t="s">
        <v>933</v>
      </c>
    </row>
    <row r="444" spans="1:24" x14ac:dyDescent="0.25">
      <c r="A444">
        <v>27393</v>
      </c>
      <c r="B444" t="s">
        <v>2269</v>
      </c>
      <c r="C444" s="1">
        <v>42384</v>
      </c>
      <c r="D444" s="1">
        <v>42388</v>
      </c>
      <c r="E444" t="s">
        <v>19</v>
      </c>
      <c r="F444" t="s">
        <v>1242</v>
      </c>
      <c r="G444" t="s">
        <v>672</v>
      </c>
      <c r="H444" t="s">
        <v>39</v>
      </c>
      <c r="I444" t="s">
        <v>906</v>
      </c>
      <c r="J444" t="s">
        <v>902</v>
      </c>
      <c r="K444" t="s">
        <v>903</v>
      </c>
      <c r="M444" t="s">
        <v>2991</v>
      </c>
      <c r="N444" t="s">
        <v>946</v>
      </c>
      <c r="O444" t="s">
        <v>2942</v>
      </c>
      <c r="P444" t="s">
        <v>22</v>
      </c>
      <c r="Q444" t="s">
        <v>937</v>
      </c>
      <c r="R444" t="s">
        <v>847</v>
      </c>
      <c r="S444">
        <v>53.822999999999993</v>
      </c>
      <c r="T444">
        <v>2</v>
      </c>
      <c r="U444">
        <v>0.45</v>
      </c>
      <c r="V444">
        <v>-28.436999999999991</v>
      </c>
      <c r="W444" s="3">
        <v>4.92</v>
      </c>
      <c r="X444" t="s">
        <v>933</v>
      </c>
    </row>
    <row r="445" spans="1:24" x14ac:dyDescent="0.25">
      <c r="A445">
        <v>22132</v>
      </c>
      <c r="B445" t="s">
        <v>1939</v>
      </c>
      <c r="C445" s="1">
        <v>41836</v>
      </c>
      <c r="D445" s="1">
        <v>41840</v>
      </c>
      <c r="E445" t="s">
        <v>19</v>
      </c>
      <c r="F445" t="s">
        <v>1162</v>
      </c>
      <c r="G445" t="s">
        <v>285</v>
      </c>
      <c r="H445" t="s">
        <v>20</v>
      </c>
      <c r="I445" t="s">
        <v>906</v>
      </c>
      <c r="J445" t="s">
        <v>902</v>
      </c>
      <c r="K445" t="s">
        <v>903</v>
      </c>
      <c r="M445" t="s">
        <v>2991</v>
      </c>
      <c r="N445" t="s">
        <v>946</v>
      </c>
      <c r="O445" t="s">
        <v>2806</v>
      </c>
      <c r="P445" t="s">
        <v>27</v>
      </c>
      <c r="Q445" t="s">
        <v>936</v>
      </c>
      <c r="R445" t="s">
        <v>439</v>
      </c>
      <c r="S445">
        <v>53.595000000000006</v>
      </c>
      <c r="T445">
        <v>3</v>
      </c>
      <c r="U445">
        <v>0.25</v>
      </c>
      <c r="V445">
        <v>11.384999999999998</v>
      </c>
      <c r="W445" s="3">
        <v>2.8</v>
      </c>
      <c r="X445" t="s">
        <v>933</v>
      </c>
    </row>
    <row r="446" spans="1:24" x14ac:dyDescent="0.25">
      <c r="A446">
        <v>28840</v>
      </c>
      <c r="B446" t="s">
        <v>2345</v>
      </c>
      <c r="C446" s="1">
        <v>42705</v>
      </c>
      <c r="D446" s="1">
        <v>42709</v>
      </c>
      <c r="E446" t="s">
        <v>19</v>
      </c>
      <c r="F446" t="s">
        <v>1293</v>
      </c>
      <c r="G446" t="s">
        <v>166</v>
      </c>
      <c r="H446" t="s">
        <v>37</v>
      </c>
      <c r="I446" t="s">
        <v>906</v>
      </c>
      <c r="J446" t="s">
        <v>902</v>
      </c>
      <c r="K446" t="s">
        <v>903</v>
      </c>
      <c r="M446" t="s">
        <v>2991</v>
      </c>
      <c r="N446" t="s">
        <v>946</v>
      </c>
      <c r="O446" t="s">
        <v>2849</v>
      </c>
      <c r="P446" t="s">
        <v>22</v>
      </c>
      <c r="Q446" t="s">
        <v>30</v>
      </c>
      <c r="R446" t="s">
        <v>127</v>
      </c>
      <c r="S446">
        <v>53.526000000000003</v>
      </c>
      <c r="T446">
        <v>2</v>
      </c>
      <c r="U446">
        <v>0.45</v>
      </c>
      <c r="V446">
        <v>-38.933999999999997</v>
      </c>
      <c r="W446" s="3">
        <v>5.42</v>
      </c>
      <c r="X446" t="s">
        <v>933</v>
      </c>
    </row>
    <row r="447" spans="1:24" x14ac:dyDescent="0.25">
      <c r="A447">
        <v>27856</v>
      </c>
      <c r="B447" t="s">
        <v>2294</v>
      </c>
      <c r="C447" s="1">
        <v>42013</v>
      </c>
      <c r="D447" s="1">
        <v>42016</v>
      </c>
      <c r="E447" t="s">
        <v>47</v>
      </c>
      <c r="F447" t="s">
        <v>1020</v>
      </c>
      <c r="G447" t="s">
        <v>763</v>
      </c>
      <c r="H447" t="s">
        <v>20</v>
      </c>
      <c r="I447" t="s">
        <v>912</v>
      </c>
      <c r="J447" t="s">
        <v>913</v>
      </c>
      <c r="K447" t="s">
        <v>903</v>
      </c>
      <c r="M447" t="s">
        <v>2991</v>
      </c>
      <c r="N447" t="s">
        <v>946</v>
      </c>
      <c r="O447" t="s">
        <v>2849</v>
      </c>
      <c r="P447" t="s">
        <v>22</v>
      </c>
      <c r="Q447" t="s">
        <v>30</v>
      </c>
      <c r="R447" t="s">
        <v>127</v>
      </c>
      <c r="S447">
        <v>53.526000000000003</v>
      </c>
      <c r="T447">
        <v>2</v>
      </c>
      <c r="U447">
        <v>0.45</v>
      </c>
      <c r="V447">
        <v>-38.933999999999997</v>
      </c>
      <c r="W447" s="3">
        <v>2.87</v>
      </c>
      <c r="X447" t="s">
        <v>933</v>
      </c>
    </row>
    <row r="448" spans="1:24" x14ac:dyDescent="0.25">
      <c r="A448">
        <v>30011</v>
      </c>
      <c r="B448" t="s">
        <v>2414</v>
      </c>
      <c r="C448" s="1">
        <v>42734</v>
      </c>
      <c r="D448" s="1">
        <v>42007</v>
      </c>
      <c r="E448" t="s">
        <v>19</v>
      </c>
      <c r="F448" t="s">
        <v>1075</v>
      </c>
      <c r="G448" t="s">
        <v>840</v>
      </c>
      <c r="H448" t="s">
        <v>20</v>
      </c>
      <c r="I448" t="s">
        <v>906</v>
      </c>
      <c r="J448" t="s">
        <v>902</v>
      </c>
      <c r="K448" t="s">
        <v>903</v>
      </c>
      <c r="M448" t="s">
        <v>2991</v>
      </c>
      <c r="N448" t="s">
        <v>946</v>
      </c>
      <c r="O448" t="s">
        <v>2668</v>
      </c>
      <c r="P448" t="s">
        <v>22</v>
      </c>
      <c r="Q448" t="s">
        <v>940</v>
      </c>
      <c r="R448" t="s">
        <v>199</v>
      </c>
      <c r="S448">
        <v>53.493000000000009</v>
      </c>
      <c r="T448">
        <v>2</v>
      </c>
      <c r="U448">
        <v>0.45</v>
      </c>
      <c r="V448">
        <v>-32.127000000000002</v>
      </c>
      <c r="W448" s="3">
        <v>2.15</v>
      </c>
      <c r="X448" t="s">
        <v>933</v>
      </c>
    </row>
    <row r="449" spans="1:24" x14ac:dyDescent="0.25">
      <c r="A449">
        <v>26539</v>
      </c>
      <c r="B449" t="s">
        <v>2206</v>
      </c>
      <c r="C449" s="1">
        <v>42113</v>
      </c>
      <c r="D449" s="1">
        <v>42117</v>
      </c>
      <c r="E449" t="s">
        <v>19</v>
      </c>
      <c r="F449" t="s">
        <v>1050</v>
      </c>
      <c r="G449" t="s">
        <v>303</v>
      </c>
      <c r="H449" t="s">
        <v>20</v>
      </c>
      <c r="I449" t="s">
        <v>909</v>
      </c>
      <c r="J449" t="s">
        <v>902</v>
      </c>
      <c r="K449" t="s">
        <v>903</v>
      </c>
      <c r="M449" t="s">
        <v>2991</v>
      </c>
      <c r="N449" t="s">
        <v>946</v>
      </c>
      <c r="O449" t="s">
        <v>2581</v>
      </c>
      <c r="P449" t="s">
        <v>22</v>
      </c>
      <c r="Q449" t="s">
        <v>935</v>
      </c>
      <c r="R449" t="s">
        <v>280</v>
      </c>
      <c r="S449">
        <v>53.295000000000002</v>
      </c>
      <c r="T449">
        <v>2</v>
      </c>
      <c r="U449">
        <v>0.45</v>
      </c>
      <c r="V449">
        <v>-38.804999999999993</v>
      </c>
      <c r="W449" s="3">
        <v>3.15</v>
      </c>
      <c r="X449" t="s">
        <v>933</v>
      </c>
    </row>
    <row r="450" spans="1:24" x14ac:dyDescent="0.25">
      <c r="A450">
        <v>20930</v>
      </c>
      <c r="B450" t="s">
        <v>1875</v>
      </c>
      <c r="C450" s="1">
        <v>42640</v>
      </c>
      <c r="D450" s="1">
        <v>42647</v>
      </c>
      <c r="E450" t="s">
        <v>19</v>
      </c>
      <c r="F450" t="s">
        <v>1355</v>
      </c>
      <c r="G450" t="s">
        <v>877</v>
      </c>
      <c r="H450" t="s">
        <v>39</v>
      </c>
      <c r="I450" t="s">
        <v>906</v>
      </c>
      <c r="J450" t="s">
        <v>902</v>
      </c>
      <c r="K450" t="s">
        <v>903</v>
      </c>
      <c r="M450" t="s">
        <v>2991</v>
      </c>
      <c r="N450" t="s">
        <v>946</v>
      </c>
      <c r="O450" t="s">
        <v>2628</v>
      </c>
      <c r="P450" t="s">
        <v>22</v>
      </c>
      <c r="Q450" t="s">
        <v>940</v>
      </c>
      <c r="R450" t="s">
        <v>563</v>
      </c>
      <c r="S450">
        <v>52.882499999999993</v>
      </c>
      <c r="T450">
        <v>5</v>
      </c>
      <c r="U450">
        <v>0.45</v>
      </c>
      <c r="V450">
        <v>-2.9174999999999969</v>
      </c>
      <c r="W450" s="3">
        <v>2.58</v>
      </c>
      <c r="X450" t="s">
        <v>933</v>
      </c>
    </row>
    <row r="451" spans="1:24" x14ac:dyDescent="0.25">
      <c r="A451">
        <v>29158</v>
      </c>
      <c r="B451" t="s">
        <v>2367</v>
      </c>
      <c r="C451" s="1">
        <v>42719</v>
      </c>
      <c r="D451" s="1">
        <v>42723</v>
      </c>
      <c r="E451" t="s">
        <v>19</v>
      </c>
      <c r="F451" t="s">
        <v>1106</v>
      </c>
      <c r="G451" t="s">
        <v>489</v>
      </c>
      <c r="H451" t="s">
        <v>39</v>
      </c>
      <c r="I451" t="s">
        <v>906</v>
      </c>
      <c r="J451" t="s">
        <v>902</v>
      </c>
      <c r="K451" t="s">
        <v>903</v>
      </c>
      <c r="M451" t="s">
        <v>2991</v>
      </c>
      <c r="N451" t="s">
        <v>946</v>
      </c>
      <c r="O451" t="s">
        <v>2969</v>
      </c>
      <c r="P451" t="s">
        <v>22</v>
      </c>
      <c r="Q451" t="s">
        <v>940</v>
      </c>
      <c r="R451" t="s">
        <v>592</v>
      </c>
      <c r="S451">
        <v>52.519499999999994</v>
      </c>
      <c r="T451">
        <v>3</v>
      </c>
      <c r="U451">
        <v>0.45</v>
      </c>
      <c r="V451">
        <v>-3.8205000000000027</v>
      </c>
      <c r="W451" s="3">
        <v>2.98</v>
      </c>
      <c r="X451" t="s">
        <v>933</v>
      </c>
    </row>
    <row r="452" spans="1:24" x14ac:dyDescent="0.25">
      <c r="A452">
        <v>28248</v>
      </c>
      <c r="B452" t="s">
        <v>2317</v>
      </c>
      <c r="C452" s="1">
        <v>42688</v>
      </c>
      <c r="D452" s="1">
        <v>42693</v>
      </c>
      <c r="E452" t="s">
        <v>19</v>
      </c>
      <c r="F452" t="s">
        <v>1321</v>
      </c>
      <c r="G452" t="s">
        <v>547</v>
      </c>
      <c r="H452" t="s">
        <v>20</v>
      </c>
      <c r="I452" t="s">
        <v>917</v>
      </c>
      <c r="J452" t="s">
        <v>915</v>
      </c>
      <c r="K452" t="s">
        <v>903</v>
      </c>
      <c r="M452" t="s">
        <v>2991</v>
      </c>
      <c r="N452" t="s">
        <v>946</v>
      </c>
      <c r="O452" t="s">
        <v>2811</v>
      </c>
      <c r="P452" t="s">
        <v>22</v>
      </c>
      <c r="Q452" t="s">
        <v>942</v>
      </c>
      <c r="R452" t="s">
        <v>354</v>
      </c>
      <c r="S452">
        <v>52.377000000000002</v>
      </c>
      <c r="T452">
        <v>2</v>
      </c>
      <c r="U452">
        <v>0.15000000000000002</v>
      </c>
      <c r="V452">
        <v>19.677</v>
      </c>
      <c r="W452" s="3">
        <v>3.83</v>
      </c>
      <c r="X452" t="s">
        <v>933</v>
      </c>
    </row>
    <row r="453" spans="1:24" x14ac:dyDescent="0.25">
      <c r="A453">
        <v>27394</v>
      </c>
      <c r="B453" t="s">
        <v>2269</v>
      </c>
      <c r="C453" s="1">
        <v>42384</v>
      </c>
      <c r="D453" s="1">
        <v>42388</v>
      </c>
      <c r="E453" t="s">
        <v>19</v>
      </c>
      <c r="F453" t="s">
        <v>1242</v>
      </c>
      <c r="G453" t="s">
        <v>672</v>
      </c>
      <c r="H453" t="s">
        <v>39</v>
      </c>
      <c r="I453" t="s">
        <v>906</v>
      </c>
      <c r="J453" t="s">
        <v>902</v>
      </c>
      <c r="K453" t="s">
        <v>903</v>
      </c>
      <c r="M453" t="s">
        <v>2991</v>
      </c>
      <c r="N453" t="s">
        <v>946</v>
      </c>
      <c r="O453" t="s">
        <v>2846</v>
      </c>
      <c r="P453" t="s">
        <v>22</v>
      </c>
      <c r="Q453" t="s">
        <v>935</v>
      </c>
      <c r="R453" t="s">
        <v>635</v>
      </c>
      <c r="S453">
        <v>52.305</v>
      </c>
      <c r="T453">
        <v>2</v>
      </c>
      <c r="U453">
        <v>0.45</v>
      </c>
      <c r="V453">
        <v>-25.695</v>
      </c>
      <c r="W453" s="3">
        <v>4.3099999999999996</v>
      </c>
      <c r="X453" t="s">
        <v>933</v>
      </c>
    </row>
    <row r="454" spans="1:24" x14ac:dyDescent="0.25">
      <c r="A454">
        <v>29858</v>
      </c>
      <c r="B454" t="s">
        <v>2404</v>
      </c>
      <c r="C454" s="1">
        <v>42260</v>
      </c>
      <c r="D454" s="1">
        <v>42264</v>
      </c>
      <c r="E454" t="s">
        <v>19</v>
      </c>
      <c r="F454" t="s">
        <v>1065</v>
      </c>
      <c r="G454" t="s">
        <v>302</v>
      </c>
      <c r="H454" t="s">
        <v>39</v>
      </c>
      <c r="I454" t="s">
        <v>922</v>
      </c>
      <c r="J454" t="s">
        <v>923</v>
      </c>
      <c r="K454" t="s">
        <v>903</v>
      </c>
      <c r="M454" t="s">
        <v>2991</v>
      </c>
      <c r="N454" t="s">
        <v>946</v>
      </c>
      <c r="O454" t="s">
        <v>2703</v>
      </c>
      <c r="P454" t="s">
        <v>22</v>
      </c>
      <c r="Q454" t="s">
        <v>69</v>
      </c>
      <c r="R454" t="s">
        <v>240</v>
      </c>
      <c r="S454">
        <v>51.81</v>
      </c>
      <c r="T454">
        <v>2</v>
      </c>
      <c r="U454">
        <v>0.45</v>
      </c>
      <c r="V454">
        <v>-17.91</v>
      </c>
      <c r="W454" s="3">
        <v>9.7899999999999991</v>
      </c>
      <c r="X454" t="s">
        <v>931</v>
      </c>
    </row>
    <row r="455" spans="1:24" x14ac:dyDescent="0.25">
      <c r="A455">
        <v>20309</v>
      </c>
      <c r="B455" t="s">
        <v>1842</v>
      </c>
      <c r="C455" s="1">
        <v>41466</v>
      </c>
      <c r="D455" s="1">
        <v>41470</v>
      </c>
      <c r="E455" t="s">
        <v>19</v>
      </c>
      <c r="F455" t="s">
        <v>1226</v>
      </c>
      <c r="G455" t="s">
        <v>641</v>
      </c>
      <c r="H455" t="s">
        <v>20</v>
      </c>
      <c r="I455" t="s">
        <v>906</v>
      </c>
      <c r="J455" t="s">
        <v>902</v>
      </c>
      <c r="K455" t="s">
        <v>903</v>
      </c>
      <c r="M455" t="s">
        <v>2991</v>
      </c>
      <c r="N455" t="s">
        <v>946</v>
      </c>
      <c r="O455" t="s">
        <v>2454</v>
      </c>
      <c r="P455" t="s">
        <v>22</v>
      </c>
      <c r="Q455" t="s">
        <v>30</v>
      </c>
      <c r="R455" t="s">
        <v>306</v>
      </c>
      <c r="S455">
        <v>51.727499999999999</v>
      </c>
      <c r="T455">
        <v>5</v>
      </c>
      <c r="U455">
        <v>0.45</v>
      </c>
      <c r="V455">
        <v>-5.7224999999999966</v>
      </c>
      <c r="W455" s="3">
        <v>3.59</v>
      </c>
      <c r="X455" t="s">
        <v>931</v>
      </c>
    </row>
    <row r="456" spans="1:24" x14ac:dyDescent="0.25">
      <c r="A456">
        <v>27384</v>
      </c>
      <c r="B456" t="s">
        <v>2268</v>
      </c>
      <c r="C456" s="1">
        <v>41459</v>
      </c>
      <c r="D456" s="1">
        <v>41462</v>
      </c>
      <c r="E456" t="s">
        <v>47</v>
      </c>
      <c r="F456" t="s">
        <v>1128</v>
      </c>
      <c r="G456" t="s">
        <v>834</v>
      </c>
      <c r="H456" t="s">
        <v>20</v>
      </c>
      <c r="I456" t="s">
        <v>921</v>
      </c>
      <c r="J456" t="s">
        <v>902</v>
      </c>
      <c r="K456" t="s">
        <v>903</v>
      </c>
      <c r="M456" t="s">
        <v>2991</v>
      </c>
      <c r="N456" t="s">
        <v>946</v>
      </c>
      <c r="O456" t="s">
        <v>2956</v>
      </c>
      <c r="P456" t="s">
        <v>22</v>
      </c>
      <c r="Q456" t="s">
        <v>940</v>
      </c>
      <c r="R456" t="s">
        <v>764</v>
      </c>
      <c r="S456">
        <v>51.710999999999999</v>
      </c>
      <c r="T456">
        <v>2</v>
      </c>
      <c r="U456">
        <v>0.45</v>
      </c>
      <c r="V456">
        <v>-23.528999999999996</v>
      </c>
      <c r="W456" s="3">
        <v>1.77</v>
      </c>
      <c r="X456" t="s">
        <v>931</v>
      </c>
    </row>
    <row r="457" spans="1:24" x14ac:dyDescent="0.25">
      <c r="A457">
        <v>29581</v>
      </c>
      <c r="B457" t="s">
        <v>2382</v>
      </c>
      <c r="C457" s="1">
        <v>41283</v>
      </c>
      <c r="D457" s="1">
        <v>41287</v>
      </c>
      <c r="E457" t="s">
        <v>19</v>
      </c>
      <c r="F457" t="s">
        <v>1097</v>
      </c>
      <c r="G457" t="s">
        <v>49</v>
      </c>
      <c r="H457" t="s">
        <v>37</v>
      </c>
      <c r="I457" t="s">
        <v>82</v>
      </c>
      <c r="J457" t="s">
        <v>911</v>
      </c>
      <c r="K457" t="s">
        <v>903</v>
      </c>
      <c r="M457" t="s">
        <v>2991</v>
      </c>
      <c r="N457" t="s">
        <v>946</v>
      </c>
      <c r="O457" t="s">
        <v>2477</v>
      </c>
      <c r="P457" t="s">
        <v>22</v>
      </c>
      <c r="Q457" t="s">
        <v>941</v>
      </c>
      <c r="R457" t="s">
        <v>162</v>
      </c>
      <c r="S457">
        <v>51.628500000000003</v>
      </c>
      <c r="T457">
        <v>7</v>
      </c>
      <c r="U457">
        <v>0.45</v>
      </c>
      <c r="V457">
        <v>4.5884999999999962</v>
      </c>
      <c r="W457" s="3">
        <v>5.55</v>
      </c>
      <c r="X457" t="s">
        <v>931</v>
      </c>
    </row>
    <row r="458" spans="1:24" x14ac:dyDescent="0.25">
      <c r="A458">
        <v>20776</v>
      </c>
      <c r="B458" t="s">
        <v>1864</v>
      </c>
      <c r="C458" s="1">
        <v>41651</v>
      </c>
      <c r="D458" s="1">
        <v>41656</v>
      </c>
      <c r="E458" t="s">
        <v>19</v>
      </c>
      <c r="F458" t="s">
        <v>1107</v>
      </c>
      <c r="G458" t="s">
        <v>385</v>
      </c>
      <c r="H458" t="s">
        <v>20</v>
      </c>
      <c r="I458" t="s">
        <v>901</v>
      </c>
      <c r="J458" t="s">
        <v>902</v>
      </c>
      <c r="K458" t="s">
        <v>903</v>
      </c>
      <c r="M458" t="s">
        <v>2991</v>
      </c>
      <c r="N458" t="s">
        <v>946</v>
      </c>
      <c r="O458" t="s">
        <v>2595</v>
      </c>
      <c r="P458" t="s">
        <v>22</v>
      </c>
      <c r="Q458" t="s">
        <v>940</v>
      </c>
      <c r="R458" t="s">
        <v>289</v>
      </c>
      <c r="S458">
        <v>51.051000000000002</v>
      </c>
      <c r="T458">
        <v>2</v>
      </c>
      <c r="U458">
        <v>0.45</v>
      </c>
      <c r="V458">
        <v>-38.108999999999995</v>
      </c>
      <c r="W458" s="3">
        <v>1.67</v>
      </c>
      <c r="X458" t="s">
        <v>933</v>
      </c>
    </row>
    <row r="459" spans="1:24" x14ac:dyDescent="0.25">
      <c r="A459">
        <v>25605</v>
      </c>
      <c r="B459" t="s">
        <v>2148</v>
      </c>
      <c r="C459" s="1">
        <v>41606</v>
      </c>
      <c r="D459" s="1">
        <v>41611</v>
      </c>
      <c r="E459" t="s">
        <v>19</v>
      </c>
      <c r="F459" t="s">
        <v>1347</v>
      </c>
      <c r="G459" t="s">
        <v>100</v>
      </c>
      <c r="H459" t="s">
        <v>20</v>
      </c>
      <c r="I459" t="s">
        <v>924</v>
      </c>
      <c r="J459" t="s">
        <v>911</v>
      </c>
      <c r="K459" t="s">
        <v>903</v>
      </c>
      <c r="M459" t="s">
        <v>2991</v>
      </c>
      <c r="N459" t="s">
        <v>946</v>
      </c>
      <c r="O459" t="s">
        <v>2644</v>
      </c>
      <c r="P459" t="s">
        <v>22</v>
      </c>
      <c r="Q459" t="s">
        <v>942</v>
      </c>
      <c r="R459" t="s">
        <v>252</v>
      </c>
      <c r="S459">
        <v>50.515500000000003</v>
      </c>
      <c r="T459">
        <v>7</v>
      </c>
      <c r="U459">
        <v>0.15000000000000002</v>
      </c>
      <c r="V459">
        <v>2.8454999999999995</v>
      </c>
      <c r="W459" s="3">
        <v>0.22</v>
      </c>
      <c r="X459" t="s">
        <v>933</v>
      </c>
    </row>
    <row r="460" spans="1:24" x14ac:dyDescent="0.25">
      <c r="A460">
        <v>25676</v>
      </c>
      <c r="B460" t="s">
        <v>2151</v>
      </c>
      <c r="C460" s="1">
        <v>42516</v>
      </c>
      <c r="D460" s="1">
        <v>42520</v>
      </c>
      <c r="E460" t="s">
        <v>43</v>
      </c>
      <c r="F460" t="s">
        <v>1017</v>
      </c>
      <c r="G460" t="s">
        <v>269</v>
      </c>
      <c r="H460" t="s">
        <v>39</v>
      </c>
      <c r="I460" t="s">
        <v>906</v>
      </c>
      <c r="J460" t="s">
        <v>902</v>
      </c>
      <c r="K460" t="s">
        <v>903</v>
      </c>
      <c r="M460" t="s">
        <v>2991</v>
      </c>
      <c r="N460" t="s">
        <v>946</v>
      </c>
      <c r="O460" t="s">
        <v>2853</v>
      </c>
      <c r="P460" t="s">
        <v>22</v>
      </c>
      <c r="Q460" t="s">
        <v>942</v>
      </c>
      <c r="R460" t="s">
        <v>551</v>
      </c>
      <c r="S460">
        <v>50.286000000000008</v>
      </c>
      <c r="T460">
        <v>2</v>
      </c>
      <c r="U460">
        <v>0.15000000000000002</v>
      </c>
      <c r="V460">
        <v>-8.3340000000000032</v>
      </c>
      <c r="W460" s="3">
        <v>4.6900000000000004</v>
      </c>
      <c r="X460" t="s">
        <v>933</v>
      </c>
    </row>
    <row r="461" spans="1:24" x14ac:dyDescent="0.25">
      <c r="A461">
        <v>23546</v>
      </c>
      <c r="B461" t="s">
        <v>2033</v>
      </c>
      <c r="C461" s="1">
        <v>41874</v>
      </c>
      <c r="D461" s="1">
        <v>41877</v>
      </c>
      <c r="E461" t="s">
        <v>43</v>
      </c>
      <c r="F461" t="s">
        <v>1166</v>
      </c>
      <c r="G461" t="s">
        <v>102</v>
      </c>
      <c r="H461" t="s">
        <v>37</v>
      </c>
      <c r="I461" t="s">
        <v>906</v>
      </c>
      <c r="J461" t="s">
        <v>902</v>
      </c>
      <c r="K461" t="s">
        <v>903</v>
      </c>
      <c r="M461" t="s">
        <v>2991</v>
      </c>
      <c r="N461" t="s">
        <v>946</v>
      </c>
      <c r="O461" t="s">
        <v>2575</v>
      </c>
      <c r="P461" t="s">
        <v>22</v>
      </c>
      <c r="Q461" t="s">
        <v>942</v>
      </c>
      <c r="R461" t="s">
        <v>342</v>
      </c>
      <c r="S461">
        <v>49.929000000000009</v>
      </c>
      <c r="T461">
        <v>2</v>
      </c>
      <c r="U461">
        <v>0.15000000000000002</v>
      </c>
      <c r="V461">
        <v>20.528999999999993</v>
      </c>
      <c r="W461" s="3">
        <v>10.43</v>
      </c>
      <c r="X461" t="s">
        <v>931</v>
      </c>
    </row>
    <row r="462" spans="1:24" x14ac:dyDescent="0.25">
      <c r="A462">
        <v>22015</v>
      </c>
      <c r="B462" t="s">
        <v>1931</v>
      </c>
      <c r="C462" s="1">
        <v>42295</v>
      </c>
      <c r="D462" s="1">
        <v>42300</v>
      </c>
      <c r="E462" t="s">
        <v>43</v>
      </c>
      <c r="F462" t="s">
        <v>1055</v>
      </c>
      <c r="G462" t="s">
        <v>133</v>
      </c>
      <c r="H462" t="s">
        <v>20</v>
      </c>
      <c r="I462" t="s">
        <v>916</v>
      </c>
      <c r="J462" t="s">
        <v>911</v>
      </c>
      <c r="K462" t="s">
        <v>903</v>
      </c>
      <c r="M462" t="s">
        <v>2991</v>
      </c>
      <c r="N462" t="s">
        <v>946</v>
      </c>
      <c r="O462" t="s">
        <v>2739</v>
      </c>
      <c r="P462" t="s">
        <v>22</v>
      </c>
      <c r="Q462" t="s">
        <v>940</v>
      </c>
      <c r="R462" t="s">
        <v>287</v>
      </c>
      <c r="S462">
        <v>49.5</v>
      </c>
      <c r="T462">
        <v>3</v>
      </c>
      <c r="U462">
        <v>0.45</v>
      </c>
      <c r="V462">
        <v>-3.6000000000000014</v>
      </c>
      <c r="W462" s="3">
        <v>7.22</v>
      </c>
      <c r="X462" t="s">
        <v>933</v>
      </c>
    </row>
    <row r="463" spans="1:24" x14ac:dyDescent="0.25">
      <c r="A463">
        <v>29131</v>
      </c>
      <c r="B463" t="s">
        <v>2362</v>
      </c>
      <c r="C463" s="1">
        <v>41956</v>
      </c>
      <c r="D463" s="1">
        <v>41960</v>
      </c>
      <c r="E463" t="s">
        <v>19</v>
      </c>
      <c r="F463" t="s">
        <v>1114</v>
      </c>
      <c r="G463" t="s">
        <v>639</v>
      </c>
      <c r="H463" t="s">
        <v>20</v>
      </c>
      <c r="I463" t="s">
        <v>906</v>
      </c>
      <c r="J463" t="s">
        <v>902</v>
      </c>
      <c r="K463" t="s">
        <v>903</v>
      </c>
      <c r="M463" t="s">
        <v>2991</v>
      </c>
      <c r="N463" t="s">
        <v>946</v>
      </c>
      <c r="O463" t="s">
        <v>2603</v>
      </c>
      <c r="P463" t="s">
        <v>27</v>
      </c>
      <c r="Q463" t="s">
        <v>939</v>
      </c>
      <c r="R463" t="s">
        <v>197</v>
      </c>
      <c r="S463">
        <v>49.365000000000009</v>
      </c>
      <c r="T463">
        <v>1</v>
      </c>
      <c r="U463">
        <v>0.25</v>
      </c>
      <c r="V463">
        <v>15.794999999999998</v>
      </c>
      <c r="W463" s="3">
        <v>3.31</v>
      </c>
      <c r="X463" t="s">
        <v>931</v>
      </c>
    </row>
    <row r="464" spans="1:24" x14ac:dyDescent="0.25">
      <c r="A464">
        <v>20783</v>
      </c>
      <c r="B464" t="s">
        <v>1866</v>
      </c>
      <c r="C464" s="1">
        <v>42734</v>
      </c>
      <c r="D464" s="1">
        <v>42007</v>
      </c>
      <c r="E464" t="s">
        <v>19</v>
      </c>
      <c r="F464" t="s">
        <v>1140</v>
      </c>
      <c r="G464" t="s">
        <v>481</v>
      </c>
      <c r="H464" t="s">
        <v>20</v>
      </c>
      <c r="I464" t="s">
        <v>901</v>
      </c>
      <c r="J464" t="s">
        <v>902</v>
      </c>
      <c r="K464" t="s">
        <v>903</v>
      </c>
      <c r="M464" t="s">
        <v>2991</v>
      </c>
      <c r="N464" t="s">
        <v>946</v>
      </c>
      <c r="O464" t="s">
        <v>2599</v>
      </c>
      <c r="P464" t="s">
        <v>22</v>
      </c>
      <c r="Q464" t="s">
        <v>69</v>
      </c>
      <c r="R464" t="s">
        <v>152</v>
      </c>
      <c r="S464">
        <v>49.351500000000001</v>
      </c>
      <c r="T464">
        <v>3</v>
      </c>
      <c r="U464">
        <v>0.45</v>
      </c>
      <c r="V464">
        <v>-4.5585000000000022</v>
      </c>
      <c r="W464" s="3">
        <v>9.23</v>
      </c>
      <c r="X464" t="s">
        <v>931</v>
      </c>
    </row>
    <row r="465" spans="1:24" x14ac:dyDescent="0.25">
      <c r="A465">
        <v>27081</v>
      </c>
      <c r="B465" t="s">
        <v>2238</v>
      </c>
      <c r="C465" s="1">
        <v>41861</v>
      </c>
      <c r="D465" s="1">
        <v>41862</v>
      </c>
      <c r="E465" t="s">
        <v>47</v>
      </c>
      <c r="F465" t="s">
        <v>1339</v>
      </c>
      <c r="G465" t="s">
        <v>272</v>
      </c>
      <c r="H465" t="s">
        <v>37</v>
      </c>
      <c r="I465" t="s">
        <v>907</v>
      </c>
      <c r="J465" t="s">
        <v>902</v>
      </c>
      <c r="K465" t="s">
        <v>903</v>
      </c>
      <c r="M465" t="s">
        <v>2991</v>
      </c>
      <c r="N465" t="s">
        <v>946</v>
      </c>
      <c r="O465" t="s">
        <v>2574</v>
      </c>
      <c r="P465" t="s">
        <v>22</v>
      </c>
      <c r="Q465" t="s">
        <v>69</v>
      </c>
      <c r="R465" t="s">
        <v>851</v>
      </c>
      <c r="S465">
        <v>49.302000000000007</v>
      </c>
      <c r="T465">
        <v>3</v>
      </c>
      <c r="U465">
        <v>0.45</v>
      </c>
      <c r="V465">
        <v>-18.82800000000001</v>
      </c>
      <c r="W465" s="3">
        <v>0.03</v>
      </c>
      <c r="X465" t="s">
        <v>933</v>
      </c>
    </row>
    <row r="466" spans="1:24" x14ac:dyDescent="0.25">
      <c r="A466">
        <v>23589</v>
      </c>
      <c r="B466" t="s">
        <v>2038</v>
      </c>
      <c r="C466" s="1">
        <v>42086</v>
      </c>
      <c r="D466" s="1">
        <v>42088</v>
      </c>
      <c r="E466" t="s">
        <v>47</v>
      </c>
      <c r="F466" t="s">
        <v>1171</v>
      </c>
      <c r="G466" t="s">
        <v>600</v>
      </c>
      <c r="H466" t="s">
        <v>20</v>
      </c>
      <c r="I466" t="s">
        <v>906</v>
      </c>
      <c r="J466" t="s">
        <v>902</v>
      </c>
      <c r="K466" t="s">
        <v>903</v>
      </c>
      <c r="M466" t="s">
        <v>2991</v>
      </c>
      <c r="N466" t="s">
        <v>946</v>
      </c>
      <c r="O466" t="s">
        <v>2611</v>
      </c>
      <c r="P466" t="s">
        <v>22</v>
      </c>
      <c r="Q466" t="s">
        <v>935</v>
      </c>
      <c r="R466" t="s">
        <v>814</v>
      </c>
      <c r="S466">
        <v>49.103999999999999</v>
      </c>
      <c r="T466">
        <v>3</v>
      </c>
      <c r="U466">
        <v>0.45</v>
      </c>
      <c r="V466">
        <v>-34.865999999999993</v>
      </c>
      <c r="W466" s="3">
        <v>18.11</v>
      </c>
      <c r="X466" t="s">
        <v>932</v>
      </c>
    </row>
    <row r="467" spans="1:24" x14ac:dyDescent="0.25">
      <c r="A467">
        <v>26449</v>
      </c>
      <c r="B467" t="s">
        <v>2200</v>
      </c>
      <c r="C467" s="1">
        <v>42232</v>
      </c>
      <c r="D467" s="1">
        <v>42239</v>
      </c>
      <c r="E467" t="s">
        <v>19</v>
      </c>
      <c r="F467" t="s">
        <v>1512</v>
      </c>
      <c r="G467" t="s">
        <v>804</v>
      </c>
      <c r="H467" t="s">
        <v>20</v>
      </c>
      <c r="I467" t="s">
        <v>906</v>
      </c>
      <c r="J467" t="s">
        <v>902</v>
      </c>
      <c r="K467" t="s">
        <v>903</v>
      </c>
      <c r="M467" t="s">
        <v>2991</v>
      </c>
      <c r="N467" t="s">
        <v>946</v>
      </c>
      <c r="O467" t="s">
        <v>2897</v>
      </c>
      <c r="P467" t="s">
        <v>22</v>
      </c>
      <c r="Q467" t="s">
        <v>942</v>
      </c>
      <c r="R467" t="s">
        <v>687</v>
      </c>
      <c r="S467">
        <v>48.959999999999994</v>
      </c>
      <c r="T467">
        <v>4</v>
      </c>
      <c r="U467">
        <v>0.15000000000000002</v>
      </c>
      <c r="V467">
        <v>-4.6800000000000006</v>
      </c>
      <c r="W467" s="3">
        <v>8.94</v>
      </c>
      <c r="X467" t="s">
        <v>934</v>
      </c>
    </row>
    <row r="468" spans="1:24" x14ac:dyDescent="0.25">
      <c r="A468">
        <v>21877</v>
      </c>
      <c r="B468" t="s">
        <v>1926</v>
      </c>
      <c r="C468" s="1">
        <v>42715</v>
      </c>
      <c r="D468" s="1">
        <v>42719</v>
      </c>
      <c r="E468" t="s">
        <v>19</v>
      </c>
      <c r="F468" t="s">
        <v>1163</v>
      </c>
      <c r="G468" t="s">
        <v>863</v>
      </c>
      <c r="H468" t="s">
        <v>39</v>
      </c>
      <c r="I468" t="s">
        <v>906</v>
      </c>
      <c r="J468" t="s">
        <v>902</v>
      </c>
      <c r="K468" t="s">
        <v>903</v>
      </c>
      <c r="M468" t="s">
        <v>2991</v>
      </c>
      <c r="N468" t="s">
        <v>946</v>
      </c>
      <c r="O468" t="s">
        <v>2751</v>
      </c>
      <c r="P468" t="s">
        <v>22</v>
      </c>
      <c r="Q468" t="s">
        <v>940</v>
      </c>
      <c r="R468" t="s">
        <v>51</v>
      </c>
      <c r="S468">
        <v>48.856500000000011</v>
      </c>
      <c r="T468">
        <v>3</v>
      </c>
      <c r="U468">
        <v>0.45</v>
      </c>
      <c r="V468">
        <v>-32.053500000000007</v>
      </c>
      <c r="W468" s="3">
        <v>2.87</v>
      </c>
      <c r="X468" t="s">
        <v>933</v>
      </c>
    </row>
    <row r="469" spans="1:24" x14ac:dyDescent="0.25">
      <c r="A469">
        <v>22703</v>
      </c>
      <c r="B469" t="s">
        <v>1980</v>
      </c>
      <c r="C469" s="1">
        <v>42391</v>
      </c>
      <c r="D469" s="1">
        <v>42396</v>
      </c>
      <c r="E469" t="s">
        <v>19</v>
      </c>
      <c r="F469" t="s">
        <v>1086</v>
      </c>
      <c r="G469" t="s">
        <v>125</v>
      </c>
      <c r="H469" t="s">
        <v>20</v>
      </c>
      <c r="I469" t="s">
        <v>906</v>
      </c>
      <c r="J469" t="s">
        <v>902</v>
      </c>
      <c r="K469" t="s">
        <v>903</v>
      </c>
      <c r="M469" t="s">
        <v>2991</v>
      </c>
      <c r="N469" t="s">
        <v>946</v>
      </c>
      <c r="O469" t="s">
        <v>2492</v>
      </c>
      <c r="P469" t="s">
        <v>22</v>
      </c>
      <c r="Q469" t="s">
        <v>942</v>
      </c>
      <c r="R469" t="s">
        <v>222</v>
      </c>
      <c r="S469">
        <v>48.704999999999998</v>
      </c>
      <c r="T469">
        <v>5</v>
      </c>
      <c r="U469">
        <v>0.15000000000000002</v>
      </c>
      <c r="V469">
        <v>16.604999999999997</v>
      </c>
      <c r="W469" s="3">
        <v>4.88</v>
      </c>
      <c r="X469" t="s">
        <v>933</v>
      </c>
    </row>
    <row r="470" spans="1:24" x14ac:dyDescent="0.25">
      <c r="A470">
        <v>29009</v>
      </c>
      <c r="B470" t="s">
        <v>2354</v>
      </c>
      <c r="C470" s="1">
        <v>42714</v>
      </c>
      <c r="D470" s="1">
        <v>42718</v>
      </c>
      <c r="E470" t="s">
        <v>19</v>
      </c>
      <c r="F470" t="s">
        <v>1170</v>
      </c>
      <c r="G470" t="s">
        <v>697</v>
      </c>
      <c r="H470" t="s">
        <v>37</v>
      </c>
      <c r="I470" t="s">
        <v>906</v>
      </c>
      <c r="J470" t="s">
        <v>902</v>
      </c>
      <c r="K470" t="s">
        <v>903</v>
      </c>
      <c r="M470" t="s">
        <v>2991</v>
      </c>
      <c r="N470" t="s">
        <v>946</v>
      </c>
      <c r="O470" t="s">
        <v>2710</v>
      </c>
      <c r="P470" t="s">
        <v>22</v>
      </c>
      <c r="Q470" t="s">
        <v>941</v>
      </c>
      <c r="R470" t="s">
        <v>313</v>
      </c>
      <c r="S470">
        <v>48.394500000000001</v>
      </c>
      <c r="T470">
        <v>7</v>
      </c>
      <c r="U470">
        <v>0.45</v>
      </c>
      <c r="V470">
        <v>-23.005499999999994</v>
      </c>
      <c r="W470" s="3">
        <v>3.98</v>
      </c>
      <c r="X470" t="s">
        <v>933</v>
      </c>
    </row>
    <row r="471" spans="1:24" x14ac:dyDescent="0.25">
      <c r="A471">
        <v>29703</v>
      </c>
      <c r="B471" t="s">
        <v>2390</v>
      </c>
      <c r="C471" s="1">
        <v>42539</v>
      </c>
      <c r="D471" s="1">
        <v>42541</v>
      </c>
      <c r="E471" t="s">
        <v>43</v>
      </c>
      <c r="F471" t="s">
        <v>967</v>
      </c>
      <c r="G471" t="s">
        <v>268</v>
      </c>
      <c r="H471" t="s">
        <v>39</v>
      </c>
      <c r="I471" t="s">
        <v>906</v>
      </c>
      <c r="J471" t="s">
        <v>902</v>
      </c>
      <c r="K471" t="s">
        <v>903</v>
      </c>
      <c r="M471" t="s">
        <v>2991</v>
      </c>
      <c r="N471" t="s">
        <v>946</v>
      </c>
      <c r="O471" t="s">
        <v>2453</v>
      </c>
      <c r="P471" t="s">
        <v>22</v>
      </c>
      <c r="Q471" t="s">
        <v>942</v>
      </c>
      <c r="R471" t="s">
        <v>391</v>
      </c>
      <c r="S471">
        <v>48.195</v>
      </c>
      <c r="T471">
        <v>2</v>
      </c>
      <c r="U471">
        <v>0.15000000000000002</v>
      </c>
      <c r="V471">
        <v>19.274999999999999</v>
      </c>
      <c r="W471" s="3">
        <v>8.98</v>
      </c>
      <c r="X471" t="s">
        <v>931</v>
      </c>
    </row>
    <row r="472" spans="1:24" x14ac:dyDescent="0.25">
      <c r="A472">
        <v>24273</v>
      </c>
      <c r="B472" t="s">
        <v>2070</v>
      </c>
      <c r="C472" s="1">
        <v>41573</v>
      </c>
      <c r="D472" s="1">
        <v>41577</v>
      </c>
      <c r="E472" t="s">
        <v>43</v>
      </c>
      <c r="F472" t="s">
        <v>1082</v>
      </c>
      <c r="G472" t="s">
        <v>248</v>
      </c>
      <c r="H472" t="s">
        <v>20</v>
      </c>
      <c r="I472" t="s">
        <v>906</v>
      </c>
      <c r="J472" t="s">
        <v>902</v>
      </c>
      <c r="K472" t="s">
        <v>903</v>
      </c>
      <c r="M472" t="s">
        <v>2991</v>
      </c>
      <c r="N472" t="s">
        <v>946</v>
      </c>
      <c r="O472" t="s">
        <v>2453</v>
      </c>
      <c r="P472" t="s">
        <v>22</v>
      </c>
      <c r="Q472" t="s">
        <v>942</v>
      </c>
      <c r="R472" t="s">
        <v>391</v>
      </c>
      <c r="S472">
        <v>48.195</v>
      </c>
      <c r="T472">
        <v>2</v>
      </c>
      <c r="U472">
        <v>0.15000000000000002</v>
      </c>
      <c r="V472">
        <v>19.274999999999999</v>
      </c>
      <c r="W472" s="3">
        <v>3.41</v>
      </c>
      <c r="X472" t="s">
        <v>931</v>
      </c>
    </row>
    <row r="473" spans="1:24" x14ac:dyDescent="0.25">
      <c r="A473">
        <v>26842</v>
      </c>
      <c r="B473" t="s">
        <v>2226</v>
      </c>
      <c r="C473" s="1">
        <v>41348</v>
      </c>
      <c r="D473" s="1">
        <v>41352</v>
      </c>
      <c r="E473" t="s">
        <v>19</v>
      </c>
      <c r="F473" t="s">
        <v>1035</v>
      </c>
      <c r="G473" t="s">
        <v>183</v>
      </c>
      <c r="H473" t="s">
        <v>20</v>
      </c>
      <c r="I473" t="s">
        <v>922</v>
      </c>
      <c r="J473" t="s">
        <v>923</v>
      </c>
      <c r="K473" t="s">
        <v>903</v>
      </c>
      <c r="M473" t="s">
        <v>2991</v>
      </c>
      <c r="N473" t="s">
        <v>946</v>
      </c>
      <c r="O473" t="s">
        <v>1829</v>
      </c>
      <c r="P473" t="s">
        <v>22</v>
      </c>
      <c r="Q473" t="s">
        <v>937</v>
      </c>
      <c r="R473" t="s">
        <v>92</v>
      </c>
      <c r="S473">
        <v>47.585999999999999</v>
      </c>
      <c r="T473">
        <v>7</v>
      </c>
      <c r="U473">
        <v>0.45</v>
      </c>
      <c r="V473">
        <v>-13.944000000000006</v>
      </c>
      <c r="W473" s="3">
        <v>6.13</v>
      </c>
      <c r="X473" t="s">
        <v>931</v>
      </c>
    </row>
    <row r="474" spans="1:24" x14ac:dyDescent="0.25">
      <c r="A474">
        <v>22242</v>
      </c>
      <c r="B474" t="s">
        <v>1945</v>
      </c>
      <c r="C474" s="1">
        <v>42378</v>
      </c>
      <c r="D474" s="1">
        <v>42383</v>
      </c>
      <c r="E474" t="s">
        <v>19</v>
      </c>
      <c r="F474" t="s">
        <v>1159</v>
      </c>
      <c r="G474" t="s">
        <v>106</v>
      </c>
      <c r="H474" t="s">
        <v>37</v>
      </c>
      <c r="I474" t="s">
        <v>906</v>
      </c>
      <c r="J474" t="s">
        <v>902</v>
      </c>
      <c r="K474" t="s">
        <v>903</v>
      </c>
      <c r="M474" t="s">
        <v>2991</v>
      </c>
      <c r="N474" t="s">
        <v>946</v>
      </c>
      <c r="O474" t="s">
        <v>2813</v>
      </c>
      <c r="P474" t="s">
        <v>22</v>
      </c>
      <c r="Q474" t="s">
        <v>941</v>
      </c>
      <c r="R474" t="s">
        <v>257</v>
      </c>
      <c r="S474">
        <v>47.585999999999999</v>
      </c>
      <c r="T474">
        <v>7</v>
      </c>
      <c r="U474">
        <v>0.45</v>
      </c>
      <c r="V474">
        <v>1.5959999999999965</v>
      </c>
      <c r="W474" s="3">
        <v>4.18</v>
      </c>
      <c r="X474" t="s">
        <v>933</v>
      </c>
    </row>
    <row r="475" spans="1:24" x14ac:dyDescent="0.25">
      <c r="A475">
        <v>28728</v>
      </c>
      <c r="B475" t="s">
        <v>2339</v>
      </c>
      <c r="C475" s="1">
        <v>42652</v>
      </c>
      <c r="D475" s="1">
        <v>42657</v>
      </c>
      <c r="E475" t="s">
        <v>19</v>
      </c>
      <c r="F475" t="s">
        <v>1084</v>
      </c>
      <c r="G475" t="s">
        <v>368</v>
      </c>
      <c r="H475" t="s">
        <v>20</v>
      </c>
      <c r="I475" t="s">
        <v>906</v>
      </c>
      <c r="J475" t="s">
        <v>902</v>
      </c>
      <c r="K475" t="s">
        <v>903</v>
      </c>
      <c r="M475" t="s">
        <v>2991</v>
      </c>
      <c r="N475" t="s">
        <v>946</v>
      </c>
      <c r="O475" t="s">
        <v>2498</v>
      </c>
      <c r="P475" t="s">
        <v>22</v>
      </c>
      <c r="Q475" t="s">
        <v>942</v>
      </c>
      <c r="R475" t="s">
        <v>108</v>
      </c>
      <c r="S475">
        <v>47.583000000000006</v>
      </c>
      <c r="T475">
        <v>2</v>
      </c>
      <c r="U475">
        <v>0.15000000000000002</v>
      </c>
      <c r="V475">
        <v>-0.59700000000000131</v>
      </c>
      <c r="W475" s="3">
        <v>2.52</v>
      </c>
      <c r="X475" t="s">
        <v>933</v>
      </c>
    </row>
    <row r="476" spans="1:24" x14ac:dyDescent="0.25">
      <c r="A476">
        <v>23461</v>
      </c>
      <c r="B476" t="s">
        <v>2027</v>
      </c>
      <c r="C476" s="1">
        <v>42628</v>
      </c>
      <c r="D476" s="1">
        <v>42633</v>
      </c>
      <c r="E476" t="s">
        <v>43</v>
      </c>
      <c r="F476" t="s">
        <v>1216</v>
      </c>
      <c r="G476" t="s">
        <v>732</v>
      </c>
      <c r="H476" t="s">
        <v>20</v>
      </c>
      <c r="I476" t="s">
        <v>912</v>
      </c>
      <c r="J476" t="s">
        <v>913</v>
      </c>
      <c r="K476" t="s">
        <v>903</v>
      </c>
      <c r="M476" t="s">
        <v>2991</v>
      </c>
      <c r="N476" t="s">
        <v>946</v>
      </c>
      <c r="O476" t="s">
        <v>2867</v>
      </c>
      <c r="P476" t="s">
        <v>27</v>
      </c>
      <c r="Q476" t="s">
        <v>936</v>
      </c>
      <c r="R476" t="s">
        <v>734</v>
      </c>
      <c r="S476">
        <v>47.25</v>
      </c>
      <c r="T476">
        <v>2</v>
      </c>
      <c r="U476">
        <v>0.25</v>
      </c>
      <c r="V476">
        <v>11.309999999999999</v>
      </c>
      <c r="W476" s="3">
        <v>6.28</v>
      </c>
      <c r="X476" t="s">
        <v>933</v>
      </c>
    </row>
    <row r="477" spans="1:24" x14ac:dyDescent="0.25">
      <c r="A477">
        <v>24282</v>
      </c>
      <c r="B477" t="s">
        <v>2072</v>
      </c>
      <c r="C477" s="1">
        <v>41796</v>
      </c>
      <c r="D477" s="1">
        <v>41801</v>
      </c>
      <c r="E477" t="s">
        <v>19</v>
      </c>
      <c r="F477" t="s">
        <v>1245</v>
      </c>
      <c r="G477" t="s">
        <v>543</v>
      </c>
      <c r="H477" t="s">
        <v>39</v>
      </c>
      <c r="I477" t="s">
        <v>906</v>
      </c>
      <c r="J477" t="s">
        <v>902</v>
      </c>
      <c r="K477" t="s">
        <v>903</v>
      </c>
      <c r="M477" t="s">
        <v>2991</v>
      </c>
      <c r="N477" t="s">
        <v>946</v>
      </c>
      <c r="O477" t="s">
        <v>2931</v>
      </c>
      <c r="P477" t="s">
        <v>22</v>
      </c>
      <c r="Q477" t="s">
        <v>69</v>
      </c>
      <c r="R477" t="s">
        <v>152</v>
      </c>
      <c r="S477">
        <v>47.025000000000006</v>
      </c>
      <c r="T477">
        <v>3</v>
      </c>
      <c r="U477">
        <v>0.45</v>
      </c>
      <c r="V477">
        <v>-4.2750000000000057</v>
      </c>
      <c r="W477" s="3">
        <v>5.62</v>
      </c>
      <c r="X477" t="s">
        <v>933</v>
      </c>
    </row>
    <row r="478" spans="1:24" x14ac:dyDescent="0.25">
      <c r="A478">
        <v>27736</v>
      </c>
      <c r="B478" t="s">
        <v>2288</v>
      </c>
      <c r="C478" s="1">
        <v>41943</v>
      </c>
      <c r="D478" s="1">
        <v>41948</v>
      </c>
      <c r="E478" t="s">
        <v>19</v>
      </c>
      <c r="F478" t="s">
        <v>957</v>
      </c>
      <c r="G478" t="s">
        <v>648</v>
      </c>
      <c r="H478" t="s">
        <v>20</v>
      </c>
      <c r="I478" t="s">
        <v>906</v>
      </c>
      <c r="J478" t="s">
        <v>902</v>
      </c>
      <c r="K478" t="s">
        <v>903</v>
      </c>
      <c r="M478" t="s">
        <v>2991</v>
      </c>
      <c r="N478" t="s">
        <v>946</v>
      </c>
      <c r="O478" t="s">
        <v>2755</v>
      </c>
      <c r="P478" t="s">
        <v>22</v>
      </c>
      <c r="Q478" t="s">
        <v>69</v>
      </c>
      <c r="R478" t="s">
        <v>295</v>
      </c>
      <c r="S478">
        <v>46.876500000000014</v>
      </c>
      <c r="T478">
        <v>3</v>
      </c>
      <c r="U478">
        <v>0.45</v>
      </c>
      <c r="V478">
        <v>-22.243500000000004</v>
      </c>
      <c r="W478" s="3">
        <v>2.79</v>
      </c>
      <c r="X478" t="s">
        <v>933</v>
      </c>
    </row>
    <row r="479" spans="1:24" x14ac:dyDescent="0.25">
      <c r="A479">
        <v>24434</v>
      </c>
      <c r="B479" t="s">
        <v>2078</v>
      </c>
      <c r="C479" s="1">
        <v>42417</v>
      </c>
      <c r="D479" s="1">
        <v>42418</v>
      </c>
      <c r="E479" t="s">
        <v>47</v>
      </c>
      <c r="F479" t="s">
        <v>1021</v>
      </c>
      <c r="G479" t="s">
        <v>555</v>
      </c>
      <c r="H479" t="s">
        <v>20</v>
      </c>
      <c r="I479" t="s">
        <v>922</v>
      </c>
      <c r="J479" t="s">
        <v>923</v>
      </c>
      <c r="K479" t="s">
        <v>903</v>
      </c>
      <c r="M479" t="s">
        <v>2991</v>
      </c>
      <c r="N479" t="s">
        <v>946</v>
      </c>
      <c r="O479" t="s">
        <v>2936</v>
      </c>
      <c r="P479" t="s">
        <v>22</v>
      </c>
      <c r="Q479" t="s">
        <v>942</v>
      </c>
      <c r="R479" t="s">
        <v>556</v>
      </c>
      <c r="S479">
        <v>46.512</v>
      </c>
      <c r="T479">
        <v>4</v>
      </c>
      <c r="U479">
        <v>0.15000000000000002</v>
      </c>
      <c r="V479">
        <v>9.1919999999999984</v>
      </c>
      <c r="W479" s="3">
        <v>11.27</v>
      </c>
      <c r="X479" t="s">
        <v>931</v>
      </c>
    </row>
    <row r="480" spans="1:24" x14ac:dyDescent="0.25">
      <c r="A480">
        <v>28651</v>
      </c>
      <c r="B480" t="s">
        <v>2334</v>
      </c>
      <c r="C480" s="1">
        <v>41511</v>
      </c>
      <c r="D480" s="1">
        <v>41517</v>
      </c>
      <c r="E480" t="s">
        <v>19</v>
      </c>
      <c r="F480" t="s">
        <v>1076</v>
      </c>
      <c r="G480" t="s">
        <v>265</v>
      </c>
      <c r="H480" t="s">
        <v>39</v>
      </c>
      <c r="I480" t="s">
        <v>906</v>
      </c>
      <c r="J480" t="s">
        <v>902</v>
      </c>
      <c r="K480" t="s">
        <v>903</v>
      </c>
      <c r="M480" t="s">
        <v>2991</v>
      </c>
      <c r="N480" t="s">
        <v>946</v>
      </c>
      <c r="O480" t="s">
        <v>2894</v>
      </c>
      <c r="P480" t="s">
        <v>31</v>
      </c>
      <c r="Q480" t="s">
        <v>945</v>
      </c>
      <c r="R480" t="s">
        <v>443</v>
      </c>
      <c r="S480">
        <v>46.134</v>
      </c>
      <c r="T480">
        <v>2</v>
      </c>
      <c r="U480">
        <v>0.45</v>
      </c>
      <c r="V480">
        <v>-13.446000000000005</v>
      </c>
      <c r="W480" s="3">
        <v>3.45</v>
      </c>
      <c r="X480" t="s">
        <v>933</v>
      </c>
    </row>
    <row r="481" spans="1:24" x14ac:dyDescent="0.25">
      <c r="A481">
        <v>28841</v>
      </c>
      <c r="B481" t="s">
        <v>2345</v>
      </c>
      <c r="C481" s="1">
        <v>42705</v>
      </c>
      <c r="D481" s="1">
        <v>42709</v>
      </c>
      <c r="E481" t="s">
        <v>19</v>
      </c>
      <c r="F481" t="s">
        <v>1293</v>
      </c>
      <c r="G481" t="s">
        <v>166</v>
      </c>
      <c r="H481" t="s">
        <v>37</v>
      </c>
      <c r="I481" t="s">
        <v>906</v>
      </c>
      <c r="J481" t="s">
        <v>902</v>
      </c>
      <c r="K481" t="s">
        <v>903</v>
      </c>
      <c r="M481" t="s">
        <v>2991</v>
      </c>
      <c r="N481" t="s">
        <v>946</v>
      </c>
      <c r="O481" t="s">
        <v>2883</v>
      </c>
      <c r="P481" t="s">
        <v>22</v>
      </c>
      <c r="Q481" t="s">
        <v>940</v>
      </c>
      <c r="R481" t="s">
        <v>522</v>
      </c>
      <c r="S481">
        <v>45.837000000000003</v>
      </c>
      <c r="T481">
        <v>2</v>
      </c>
      <c r="U481">
        <v>0.45</v>
      </c>
      <c r="V481">
        <v>-17.523</v>
      </c>
      <c r="W481" s="3">
        <v>2.46</v>
      </c>
      <c r="X481" t="s">
        <v>933</v>
      </c>
    </row>
    <row r="482" spans="1:24" x14ac:dyDescent="0.25">
      <c r="A482">
        <v>26784</v>
      </c>
      <c r="B482" t="s">
        <v>2222</v>
      </c>
      <c r="C482" s="1">
        <v>42484</v>
      </c>
      <c r="D482" s="1">
        <v>42489</v>
      </c>
      <c r="E482" t="s">
        <v>19</v>
      </c>
      <c r="F482" t="s">
        <v>1241</v>
      </c>
      <c r="G482" t="s">
        <v>178</v>
      </c>
      <c r="H482" t="s">
        <v>20</v>
      </c>
      <c r="I482" t="s">
        <v>906</v>
      </c>
      <c r="J482" t="s">
        <v>902</v>
      </c>
      <c r="K482" t="s">
        <v>903</v>
      </c>
      <c r="M482" t="s">
        <v>2991</v>
      </c>
      <c r="N482" t="s">
        <v>946</v>
      </c>
      <c r="O482" t="s">
        <v>2844</v>
      </c>
      <c r="P482" t="s">
        <v>22</v>
      </c>
      <c r="Q482" t="s">
        <v>942</v>
      </c>
      <c r="R482" t="s">
        <v>636</v>
      </c>
      <c r="S482">
        <v>45.491999999999997</v>
      </c>
      <c r="T482">
        <v>4</v>
      </c>
      <c r="U482">
        <v>0.15000000000000002</v>
      </c>
      <c r="V482">
        <v>15.491999999999999</v>
      </c>
      <c r="W482" s="3">
        <v>3.46</v>
      </c>
      <c r="X482" t="s">
        <v>933</v>
      </c>
    </row>
    <row r="483" spans="1:24" x14ac:dyDescent="0.25">
      <c r="A483">
        <v>29123</v>
      </c>
      <c r="B483" t="s">
        <v>2361</v>
      </c>
      <c r="C483" s="1">
        <v>42574</v>
      </c>
      <c r="D483" s="1">
        <v>42580</v>
      </c>
      <c r="E483" t="s">
        <v>19</v>
      </c>
      <c r="F483" t="s">
        <v>1186</v>
      </c>
      <c r="G483" t="s">
        <v>172</v>
      </c>
      <c r="H483" t="s">
        <v>39</v>
      </c>
      <c r="I483" t="s">
        <v>912</v>
      </c>
      <c r="J483" t="s">
        <v>913</v>
      </c>
      <c r="K483" t="s">
        <v>903</v>
      </c>
      <c r="M483" t="s">
        <v>2991</v>
      </c>
      <c r="N483" t="s">
        <v>946</v>
      </c>
      <c r="O483" t="s">
        <v>2572</v>
      </c>
      <c r="P483" t="s">
        <v>22</v>
      </c>
      <c r="Q483" t="s">
        <v>942</v>
      </c>
      <c r="R483" t="s">
        <v>776</v>
      </c>
      <c r="S483">
        <v>45.287999999999997</v>
      </c>
      <c r="T483">
        <v>4</v>
      </c>
      <c r="U483">
        <v>0.15000000000000002</v>
      </c>
      <c r="V483">
        <v>-7.2000000000000064E-2</v>
      </c>
      <c r="W483" s="3">
        <v>4.9800000000000004</v>
      </c>
      <c r="X483" t="s">
        <v>933</v>
      </c>
    </row>
    <row r="484" spans="1:24" x14ac:dyDescent="0.25">
      <c r="A484">
        <v>29017</v>
      </c>
      <c r="B484" t="s">
        <v>2355</v>
      </c>
      <c r="C484" s="1">
        <v>41863</v>
      </c>
      <c r="D484" s="1">
        <v>41868</v>
      </c>
      <c r="E484" t="s">
        <v>19</v>
      </c>
      <c r="F484" t="s">
        <v>1036</v>
      </c>
      <c r="G484" t="s">
        <v>558</v>
      </c>
      <c r="H484" t="s">
        <v>37</v>
      </c>
      <c r="I484" t="s">
        <v>906</v>
      </c>
      <c r="J484" t="s">
        <v>902</v>
      </c>
      <c r="K484" t="s">
        <v>903</v>
      </c>
      <c r="M484" t="s">
        <v>2991</v>
      </c>
      <c r="N484" t="s">
        <v>946</v>
      </c>
      <c r="O484" t="s">
        <v>2855</v>
      </c>
      <c r="P484" t="s">
        <v>22</v>
      </c>
      <c r="Q484" t="s">
        <v>940</v>
      </c>
      <c r="R484" t="s">
        <v>542</v>
      </c>
      <c r="S484">
        <v>45.044999999999995</v>
      </c>
      <c r="T484">
        <v>3</v>
      </c>
      <c r="U484">
        <v>0.45</v>
      </c>
      <c r="V484">
        <v>-16.424999999999997</v>
      </c>
      <c r="W484" s="3">
        <v>3.46</v>
      </c>
      <c r="X484" t="s">
        <v>933</v>
      </c>
    </row>
    <row r="485" spans="1:24" x14ac:dyDescent="0.25">
      <c r="A485">
        <v>27385</v>
      </c>
      <c r="B485" t="s">
        <v>2268</v>
      </c>
      <c r="C485" s="1">
        <v>41459</v>
      </c>
      <c r="D485" s="1">
        <v>41462</v>
      </c>
      <c r="E485" t="s">
        <v>47</v>
      </c>
      <c r="F485" t="s">
        <v>1128</v>
      </c>
      <c r="G485" t="s">
        <v>834</v>
      </c>
      <c r="H485" t="s">
        <v>20</v>
      </c>
      <c r="I485" t="s">
        <v>921</v>
      </c>
      <c r="J485" t="s">
        <v>902</v>
      </c>
      <c r="K485" t="s">
        <v>903</v>
      </c>
      <c r="M485" t="s">
        <v>2991</v>
      </c>
      <c r="N485" t="s">
        <v>946</v>
      </c>
      <c r="O485" t="s">
        <v>1830</v>
      </c>
      <c r="P485" t="s">
        <v>22</v>
      </c>
      <c r="Q485" t="s">
        <v>23</v>
      </c>
      <c r="R485" t="s">
        <v>541</v>
      </c>
      <c r="S485">
        <v>44.929499999999997</v>
      </c>
      <c r="T485">
        <v>7</v>
      </c>
      <c r="U485">
        <v>0.45</v>
      </c>
      <c r="V485">
        <v>-4.210499999999989</v>
      </c>
      <c r="W485" s="3">
        <v>6.91</v>
      </c>
      <c r="X485" t="s">
        <v>931</v>
      </c>
    </row>
    <row r="486" spans="1:24" x14ac:dyDescent="0.25">
      <c r="A486">
        <v>25544</v>
      </c>
      <c r="B486" t="s">
        <v>2144</v>
      </c>
      <c r="C486" s="1">
        <v>41593</v>
      </c>
      <c r="D486" s="1">
        <v>41595</v>
      </c>
      <c r="E486" t="s">
        <v>47</v>
      </c>
      <c r="F486" t="s">
        <v>1343</v>
      </c>
      <c r="G486" t="s">
        <v>184</v>
      </c>
      <c r="H486" t="s">
        <v>39</v>
      </c>
      <c r="I486" t="s">
        <v>910</v>
      </c>
      <c r="J486" t="s">
        <v>902</v>
      </c>
      <c r="K486" t="s">
        <v>903</v>
      </c>
      <c r="M486" t="s">
        <v>2991</v>
      </c>
      <c r="N486" t="s">
        <v>946</v>
      </c>
      <c r="O486" t="s">
        <v>2832</v>
      </c>
      <c r="P486" t="s">
        <v>22</v>
      </c>
      <c r="Q486" t="s">
        <v>30</v>
      </c>
      <c r="R486" t="s">
        <v>75</v>
      </c>
      <c r="S486">
        <v>44.781000000000006</v>
      </c>
      <c r="T486">
        <v>2</v>
      </c>
      <c r="U486">
        <v>0.45</v>
      </c>
      <c r="V486">
        <v>-4.8990000000000009</v>
      </c>
      <c r="W486" s="3">
        <v>5.58</v>
      </c>
      <c r="X486" t="s">
        <v>931</v>
      </c>
    </row>
    <row r="487" spans="1:24" x14ac:dyDescent="0.25">
      <c r="A487">
        <v>28652</v>
      </c>
      <c r="B487" t="s">
        <v>2334</v>
      </c>
      <c r="C487" s="1">
        <v>41511</v>
      </c>
      <c r="D487" s="1">
        <v>41517</v>
      </c>
      <c r="E487" t="s">
        <v>19</v>
      </c>
      <c r="F487" t="s">
        <v>1076</v>
      </c>
      <c r="G487" t="s">
        <v>265</v>
      </c>
      <c r="H487" t="s">
        <v>39</v>
      </c>
      <c r="I487" t="s">
        <v>906</v>
      </c>
      <c r="J487" t="s">
        <v>902</v>
      </c>
      <c r="K487" t="s">
        <v>903</v>
      </c>
      <c r="M487" t="s">
        <v>2991</v>
      </c>
      <c r="N487" t="s">
        <v>946</v>
      </c>
      <c r="O487" t="s">
        <v>2974</v>
      </c>
      <c r="P487" t="s">
        <v>22</v>
      </c>
      <c r="Q487" t="s">
        <v>69</v>
      </c>
      <c r="R487" t="s">
        <v>174</v>
      </c>
      <c r="S487">
        <v>44.649000000000008</v>
      </c>
      <c r="T487">
        <v>6</v>
      </c>
      <c r="U487">
        <v>0.45</v>
      </c>
      <c r="V487">
        <v>-10.611000000000004</v>
      </c>
      <c r="W487" s="3">
        <v>5.98</v>
      </c>
      <c r="X487" t="s">
        <v>933</v>
      </c>
    </row>
    <row r="488" spans="1:24" x14ac:dyDescent="0.25">
      <c r="A488">
        <v>28182</v>
      </c>
      <c r="B488" t="s">
        <v>2312</v>
      </c>
      <c r="C488" s="1">
        <v>41631</v>
      </c>
      <c r="D488" s="1">
        <v>41635</v>
      </c>
      <c r="E488" t="s">
        <v>19</v>
      </c>
      <c r="F488" t="s">
        <v>1241</v>
      </c>
      <c r="G488" t="s">
        <v>178</v>
      </c>
      <c r="H488" t="s">
        <v>20</v>
      </c>
      <c r="I488" t="s">
        <v>906</v>
      </c>
      <c r="J488" t="s">
        <v>902</v>
      </c>
      <c r="K488" t="s">
        <v>903</v>
      </c>
      <c r="M488" t="s">
        <v>2991</v>
      </c>
      <c r="N488" t="s">
        <v>946</v>
      </c>
      <c r="O488" t="s">
        <v>1838</v>
      </c>
      <c r="P488" t="s">
        <v>22</v>
      </c>
      <c r="Q488" t="s">
        <v>940</v>
      </c>
      <c r="R488" t="s">
        <v>335</v>
      </c>
      <c r="S488">
        <v>44.649000000000001</v>
      </c>
      <c r="T488">
        <v>3</v>
      </c>
      <c r="U488">
        <v>0.45</v>
      </c>
      <c r="V488">
        <v>-0.89099999999999824</v>
      </c>
      <c r="W488" s="3">
        <v>2.08</v>
      </c>
      <c r="X488" t="s">
        <v>933</v>
      </c>
    </row>
    <row r="489" spans="1:24" x14ac:dyDescent="0.25">
      <c r="A489">
        <v>26309</v>
      </c>
      <c r="B489" t="s">
        <v>2194</v>
      </c>
      <c r="C489" s="1">
        <v>42348</v>
      </c>
      <c r="D489" s="1">
        <v>42353</v>
      </c>
      <c r="E489" t="s">
        <v>19</v>
      </c>
      <c r="F489" t="s">
        <v>1268</v>
      </c>
      <c r="G489" t="s">
        <v>314</v>
      </c>
      <c r="H489" t="s">
        <v>20</v>
      </c>
      <c r="I489" t="s">
        <v>906</v>
      </c>
      <c r="J489" t="s">
        <v>902</v>
      </c>
      <c r="K489" t="s">
        <v>903</v>
      </c>
      <c r="M489" t="s">
        <v>2991</v>
      </c>
      <c r="N489" t="s">
        <v>946</v>
      </c>
      <c r="O489" t="s">
        <v>2932</v>
      </c>
      <c r="P489" t="s">
        <v>22</v>
      </c>
      <c r="Q489" t="s">
        <v>30</v>
      </c>
      <c r="R489" t="s">
        <v>807</v>
      </c>
      <c r="S489">
        <v>44.021999999999998</v>
      </c>
      <c r="T489">
        <v>4</v>
      </c>
      <c r="U489">
        <v>0.45</v>
      </c>
      <c r="V489">
        <v>2.382000000000005</v>
      </c>
      <c r="W489" s="3">
        <v>4.67</v>
      </c>
      <c r="X489" t="s">
        <v>933</v>
      </c>
    </row>
    <row r="490" spans="1:24" x14ac:dyDescent="0.25">
      <c r="A490">
        <v>20773</v>
      </c>
      <c r="B490" t="s">
        <v>1864</v>
      </c>
      <c r="C490" s="1">
        <v>41651</v>
      </c>
      <c r="D490" s="1">
        <v>41656</v>
      </c>
      <c r="E490" t="s">
        <v>19</v>
      </c>
      <c r="F490" t="s">
        <v>1107</v>
      </c>
      <c r="G490" t="s">
        <v>385</v>
      </c>
      <c r="H490" t="s">
        <v>20</v>
      </c>
      <c r="I490" t="s">
        <v>901</v>
      </c>
      <c r="J490" t="s">
        <v>902</v>
      </c>
      <c r="K490" t="s">
        <v>903</v>
      </c>
      <c r="M490" t="s">
        <v>2991</v>
      </c>
      <c r="N490" t="s">
        <v>946</v>
      </c>
      <c r="O490" t="s">
        <v>2593</v>
      </c>
      <c r="P490" t="s">
        <v>22</v>
      </c>
      <c r="Q490" t="s">
        <v>69</v>
      </c>
      <c r="R490" t="s">
        <v>301</v>
      </c>
      <c r="S490">
        <v>43.956000000000003</v>
      </c>
      <c r="T490">
        <v>3</v>
      </c>
      <c r="U490">
        <v>0.45</v>
      </c>
      <c r="V490">
        <v>-15.264000000000006</v>
      </c>
      <c r="W490" s="3">
        <v>3.1</v>
      </c>
      <c r="X490" t="s">
        <v>933</v>
      </c>
    </row>
    <row r="491" spans="1:24" x14ac:dyDescent="0.25">
      <c r="A491">
        <v>20479</v>
      </c>
      <c r="B491" t="s">
        <v>1850</v>
      </c>
      <c r="C491" s="1">
        <v>41956</v>
      </c>
      <c r="D491" s="1">
        <v>41959</v>
      </c>
      <c r="E491" t="s">
        <v>47</v>
      </c>
      <c r="F491" t="s">
        <v>1436</v>
      </c>
      <c r="G491" t="s">
        <v>311</v>
      </c>
      <c r="H491" t="s">
        <v>39</v>
      </c>
      <c r="I491" t="s">
        <v>906</v>
      </c>
      <c r="J491" t="s">
        <v>902</v>
      </c>
      <c r="K491" t="s">
        <v>903</v>
      </c>
      <c r="M491" t="s">
        <v>2991</v>
      </c>
      <c r="N491" t="s">
        <v>946</v>
      </c>
      <c r="O491" t="s">
        <v>2450</v>
      </c>
      <c r="P491" t="s">
        <v>22</v>
      </c>
      <c r="Q491" t="s">
        <v>23</v>
      </c>
      <c r="R491" t="s">
        <v>237</v>
      </c>
      <c r="S491">
        <v>43.856999999999999</v>
      </c>
      <c r="T491">
        <v>6</v>
      </c>
      <c r="U491">
        <v>0.45</v>
      </c>
      <c r="V491">
        <v>-18.423000000000002</v>
      </c>
      <c r="W491" s="3">
        <v>3.49</v>
      </c>
      <c r="X491" t="s">
        <v>933</v>
      </c>
    </row>
    <row r="492" spans="1:24" x14ac:dyDescent="0.25">
      <c r="A492">
        <v>22778</v>
      </c>
      <c r="B492" t="s">
        <v>1986</v>
      </c>
      <c r="C492" s="1">
        <v>42294</v>
      </c>
      <c r="D492" s="1">
        <v>42298</v>
      </c>
      <c r="E492" t="s">
        <v>19</v>
      </c>
      <c r="F492" t="s">
        <v>1367</v>
      </c>
      <c r="G492" t="s">
        <v>394</v>
      </c>
      <c r="H492" t="s">
        <v>39</v>
      </c>
      <c r="I492" t="s">
        <v>906</v>
      </c>
      <c r="J492" t="s">
        <v>902</v>
      </c>
      <c r="K492" t="s">
        <v>903</v>
      </c>
      <c r="M492" t="s">
        <v>2991</v>
      </c>
      <c r="N492" t="s">
        <v>946</v>
      </c>
      <c r="O492" t="s">
        <v>2870</v>
      </c>
      <c r="P492" t="s">
        <v>22</v>
      </c>
      <c r="Q492" t="s">
        <v>942</v>
      </c>
      <c r="R492" t="s">
        <v>176</v>
      </c>
      <c r="S492">
        <v>43.426500000000004</v>
      </c>
      <c r="T492">
        <v>1</v>
      </c>
      <c r="U492">
        <v>0.15000000000000002</v>
      </c>
      <c r="V492">
        <v>-2.0535000000000014</v>
      </c>
      <c r="W492" s="3">
        <v>2.84</v>
      </c>
      <c r="X492" t="s">
        <v>933</v>
      </c>
    </row>
    <row r="493" spans="1:24" x14ac:dyDescent="0.25">
      <c r="A493">
        <v>20929</v>
      </c>
      <c r="B493" t="s">
        <v>1875</v>
      </c>
      <c r="C493" s="1">
        <v>42640</v>
      </c>
      <c r="D493" s="1">
        <v>42647</v>
      </c>
      <c r="E493" t="s">
        <v>19</v>
      </c>
      <c r="F493" t="s">
        <v>1355</v>
      </c>
      <c r="G493" t="s">
        <v>877</v>
      </c>
      <c r="H493" t="s">
        <v>39</v>
      </c>
      <c r="I493" t="s">
        <v>906</v>
      </c>
      <c r="J493" t="s">
        <v>902</v>
      </c>
      <c r="K493" t="s">
        <v>903</v>
      </c>
      <c r="M493" t="s">
        <v>2991</v>
      </c>
      <c r="N493" t="s">
        <v>946</v>
      </c>
      <c r="O493" t="s">
        <v>2582</v>
      </c>
      <c r="P493" t="s">
        <v>22</v>
      </c>
      <c r="Q493" t="s">
        <v>30</v>
      </c>
      <c r="R493" t="s">
        <v>721</v>
      </c>
      <c r="S493">
        <v>43.329000000000001</v>
      </c>
      <c r="T493">
        <v>2</v>
      </c>
      <c r="U493">
        <v>0.45</v>
      </c>
      <c r="V493">
        <v>-18.170999999999999</v>
      </c>
      <c r="W493" s="3">
        <v>4.1399999999999997</v>
      </c>
      <c r="X493" t="s">
        <v>933</v>
      </c>
    </row>
    <row r="494" spans="1:24" x14ac:dyDescent="0.25">
      <c r="A494">
        <v>28924</v>
      </c>
      <c r="B494" t="s">
        <v>2350</v>
      </c>
      <c r="C494" s="1">
        <v>41936</v>
      </c>
      <c r="D494" s="1">
        <v>41942</v>
      </c>
      <c r="E494" t="s">
        <v>19</v>
      </c>
      <c r="F494" t="s">
        <v>1002</v>
      </c>
      <c r="G494" t="s">
        <v>856</v>
      </c>
      <c r="H494" t="s">
        <v>20</v>
      </c>
      <c r="I494" t="s">
        <v>906</v>
      </c>
      <c r="J494" t="s">
        <v>902</v>
      </c>
      <c r="K494" t="s">
        <v>903</v>
      </c>
      <c r="M494" t="s">
        <v>2991</v>
      </c>
      <c r="N494" t="s">
        <v>946</v>
      </c>
      <c r="O494" t="s">
        <v>2786</v>
      </c>
      <c r="P494" t="s">
        <v>22</v>
      </c>
      <c r="Q494" t="s">
        <v>937</v>
      </c>
      <c r="R494" t="s">
        <v>224</v>
      </c>
      <c r="S494">
        <v>43.064999999999998</v>
      </c>
      <c r="T494">
        <v>3</v>
      </c>
      <c r="U494">
        <v>0.45</v>
      </c>
      <c r="V494">
        <v>-7.0649999999999977</v>
      </c>
      <c r="W494" s="3">
        <v>4.76</v>
      </c>
      <c r="X494" t="s">
        <v>933</v>
      </c>
    </row>
    <row r="495" spans="1:24" x14ac:dyDescent="0.25">
      <c r="A495">
        <v>26254</v>
      </c>
      <c r="B495" t="s">
        <v>2186</v>
      </c>
      <c r="C495" s="1">
        <v>41873</v>
      </c>
      <c r="D495" s="1">
        <v>41878</v>
      </c>
      <c r="E495" t="s">
        <v>19</v>
      </c>
      <c r="F495" t="s">
        <v>1054</v>
      </c>
      <c r="G495" t="s">
        <v>196</v>
      </c>
      <c r="H495" t="s">
        <v>20</v>
      </c>
      <c r="I495" t="s">
        <v>906</v>
      </c>
      <c r="J495" t="s">
        <v>902</v>
      </c>
      <c r="K495" t="s">
        <v>903</v>
      </c>
      <c r="M495" t="s">
        <v>2991</v>
      </c>
      <c r="N495" t="s">
        <v>946</v>
      </c>
      <c r="O495" t="s">
        <v>2975</v>
      </c>
      <c r="P495" t="s">
        <v>22</v>
      </c>
      <c r="Q495" t="s">
        <v>941</v>
      </c>
      <c r="R495" t="s">
        <v>604</v>
      </c>
      <c r="S495">
        <v>42.900000000000013</v>
      </c>
      <c r="T495">
        <v>4</v>
      </c>
      <c r="U495">
        <v>0.45</v>
      </c>
      <c r="V495">
        <v>-10.980000000000011</v>
      </c>
      <c r="W495" s="3">
        <v>3.5</v>
      </c>
      <c r="X495" t="s">
        <v>933</v>
      </c>
    </row>
    <row r="496" spans="1:24" x14ac:dyDescent="0.25">
      <c r="A496">
        <v>23097</v>
      </c>
      <c r="B496" t="s">
        <v>2005</v>
      </c>
      <c r="C496" s="1">
        <v>41363</v>
      </c>
      <c r="D496" s="1">
        <v>41367</v>
      </c>
      <c r="E496" t="s">
        <v>19</v>
      </c>
      <c r="F496" t="s">
        <v>1230</v>
      </c>
      <c r="G496" t="s">
        <v>382</v>
      </c>
      <c r="H496" t="s">
        <v>20</v>
      </c>
      <c r="I496" t="s">
        <v>906</v>
      </c>
      <c r="J496" t="s">
        <v>902</v>
      </c>
      <c r="K496" t="s">
        <v>903</v>
      </c>
      <c r="M496" t="s">
        <v>2991</v>
      </c>
      <c r="N496" t="s">
        <v>946</v>
      </c>
      <c r="O496" t="s">
        <v>2659</v>
      </c>
      <c r="P496" t="s">
        <v>27</v>
      </c>
      <c r="Q496" t="s">
        <v>936</v>
      </c>
      <c r="R496" t="s">
        <v>478</v>
      </c>
      <c r="S496">
        <v>42.795000000000002</v>
      </c>
      <c r="T496">
        <v>2</v>
      </c>
      <c r="U496">
        <v>0.25</v>
      </c>
      <c r="V496">
        <v>1.0949999999999989</v>
      </c>
      <c r="W496" s="3">
        <v>3.39</v>
      </c>
      <c r="X496" t="s">
        <v>933</v>
      </c>
    </row>
    <row r="497" spans="1:24" x14ac:dyDescent="0.25">
      <c r="A497">
        <v>29160</v>
      </c>
      <c r="B497" t="s">
        <v>2368</v>
      </c>
      <c r="C497" s="1">
        <v>42389</v>
      </c>
      <c r="D497" s="1">
        <v>42391</v>
      </c>
      <c r="E497" t="s">
        <v>43</v>
      </c>
      <c r="F497" t="s">
        <v>1189</v>
      </c>
      <c r="G497" t="s">
        <v>231</v>
      </c>
      <c r="H497" t="s">
        <v>20</v>
      </c>
      <c r="I497" t="s">
        <v>906</v>
      </c>
      <c r="J497" t="s">
        <v>902</v>
      </c>
      <c r="K497" t="s">
        <v>903</v>
      </c>
      <c r="M497" t="s">
        <v>2991</v>
      </c>
      <c r="N497" t="s">
        <v>946</v>
      </c>
      <c r="O497" t="s">
        <v>2609</v>
      </c>
      <c r="P497" t="s">
        <v>22</v>
      </c>
      <c r="Q497" t="s">
        <v>941</v>
      </c>
      <c r="R497" t="s">
        <v>622</v>
      </c>
      <c r="S497">
        <v>42.63600000000001</v>
      </c>
      <c r="T497">
        <v>4</v>
      </c>
      <c r="U497">
        <v>0.45</v>
      </c>
      <c r="V497">
        <v>-14.004000000000008</v>
      </c>
      <c r="W497" s="3">
        <v>5.95</v>
      </c>
      <c r="X497" t="s">
        <v>933</v>
      </c>
    </row>
    <row r="498" spans="1:24" x14ac:dyDescent="0.25">
      <c r="A498">
        <v>27222</v>
      </c>
      <c r="B498" t="s">
        <v>2254</v>
      </c>
      <c r="C498" s="1">
        <v>42577</v>
      </c>
      <c r="D498" s="1">
        <v>42581</v>
      </c>
      <c r="E498" t="s">
        <v>43</v>
      </c>
      <c r="F498" t="s">
        <v>1244</v>
      </c>
      <c r="G498" t="s">
        <v>802</v>
      </c>
      <c r="H498" t="s">
        <v>39</v>
      </c>
      <c r="I498" t="s">
        <v>922</v>
      </c>
      <c r="J498" t="s">
        <v>923</v>
      </c>
      <c r="K498" t="s">
        <v>903</v>
      </c>
      <c r="M498" t="s">
        <v>2991</v>
      </c>
      <c r="N498" t="s">
        <v>946</v>
      </c>
      <c r="O498" t="s">
        <v>2902</v>
      </c>
      <c r="P498" t="s">
        <v>27</v>
      </c>
      <c r="Q498" t="s">
        <v>936</v>
      </c>
      <c r="R498" t="s">
        <v>611</v>
      </c>
      <c r="S498">
        <v>42.389999999999993</v>
      </c>
      <c r="T498">
        <v>3</v>
      </c>
      <c r="U498">
        <v>0.25</v>
      </c>
      <c r="V498">
        <v>10.709999999999999</v>
      </c>
      <c r="W498" s="3">
        <v>0.45</v>
      </c>
      <c r="X498" t="s">
        <v>933</v>
      </c>
    </row>
    <row r="499" spans="1:24" x14ac:dyDescent="0.25">
      <c r="A499">
        <v>29833</v>
      </c>
      <c r="B499" t="s">
        <v>2400</v>
      </c>
      <c r="C499" s="1">
        <v>42433</v>
      </c>
      <c r="D499" s="1">
        <v>42439</v>
      </c>
      <c r="E499" t="s">
        <v>19</v>
      </c>
      <c r="F499" t="s">
        <v>1053</v>
      </c>
      <c r="G499" t="s">
        <v>451</v>
      </c>
      <c r="H499" t="s">
        <v>20</v>
      </c>
      <c r="I499" t="s">
        <v>906</v>
      </c>
      <c r="J499" t="s">
        <v>902</v>
      </c>
      <c r="K499" t="s">
        <v>903</v>
      </c>
      <c r="M499" t="s">
        <v>2991</v>
      </c>
      <c r="N499" t="s">
        <v>946</v>
      </c>
      <c r="O499" t="s">
        <v>2800</v>
      </c>
      <c r="P499" t="s">
        <v>27</v>
      </c>
      <c r="Q499" t="s">
        <v>939</v>
      </c>
      <c r="R499" t="s">
        <v>283</v>
      </c>
      <c r="S499">
        <v>42.255000000000003</v>
      </c>
      <c r="T499">
        <v>1</v>
      </c>
      <c r="U499">
        <v>0.25</v>
      </c>
      <c r="V499">
        <v>1.6649999999999991</v>
      </c>
      <c r="W499" s="3">
        <v>6.5</v>
      </c>
      <c r="X499" t="s">
        <v>934</v>
      </c>
    </row>
    <row r="500" spans="1:24" x14ac:dyDescent="0.25">
      <c r="A500">
        <v>29437</v>
      </c>
      <c r="B500" t="s">
        <v>2377</v>
      </c>
      <c r="C500" s="1">
        <v>42518</v>
      </c>
      <c r="D500" s="1">
        <v>42525</v>
      </c>
      <c r="E500" t="s">
        <v>19</v>
      </c>
      <c r="F500" t="s">
        <v>958</v>
      </c>
      <c r="G500" t="s">
        <v>330</v>
      </c>
      <c r="H500" t="s">
        <v>37</v>
      </c>
      <c r="I500" t="s">
        <v>901</v>
      </c>
      <c r="J500" t="s">
        <v>902</v>
      </c>
      <c r="K500" t="s">
        <v>903</v>
      </c>
      <c r="M500" t="s">
        <v>2991</v>
      </c>
      <c r="N500" t="s">
        <v>946</v>
      </c>
      <c r="O500" t="s">
        <v>2577</v>
      </c>
      <c r="P500" t="s">
        <v>22</v>
      </c>
      <c r="Q500" t="s">
        <v>940</v>
      </c>
      <c r="R500" t="s">
        <v>479</v>
      </c>
      <c r="S500">
        <v>42.207000000000008</v>
      </c>
      <c r="T500">
        <v>2</v>
      </c>
      <c r="U500">
        <v>0.45</v>
      </c>
      <c r="V500">
        <v>-25.353000000000009</v>
      </c>
      <c r="W500" s="3">
        <v>2.2400000000000002</v>
      </c>
      <c r="X500" t="s">
        <v>933</v>
      </c>
    </row>
    <row r="501" spans="1:24" x14ac:dyDescent="0.25">
      <c r="A501">
        <v>22547</v>
      </c>
      <c r="B501" t="s">
        <v>1967</v>
      </c>
      <c r="C501" s="1">
        <v>41971</v>
      </c>
      <c r="D501" s="1">
        <v>41976</v>
      </c>
      <c r="E501" t="s">
        <v>19</v>
      </c>
      <c r="F501" t="s">
        <v>1307</v>
      </c>
      <c r="G501" t="s">
        <v>364</v>
      </c>
      <c r="H501" t="s">
        <v>20</v>
      </c>
      <c r="I501" t="s">
        <v>906</v>
      </c>
      <c r="J501" t="s">
        <v>902</v>
      </c>
      <c r="K501" t="s">
        <v>903</v>
      </c>
      <c r="M501" t="s">
        <v>2991</v>
      </c>
      <c r="N501" t="s">
        <v>946</v>
      </c>
      <c r="O501" t="s">
        <v>2636</v>
      </c>
      <c r="P501" t="s">
        <v>22</v>
      </c>
      <c r="Q501" t="s">
        <v>941</v>
      </c>
      <c r="R501" t="s">
        <v>247</v>
      </c>
      <c r="S501">
        <v>42.157499999999999</v>
      </c>
      <c r="T501">
        <v>7</v>
      </c>
      <c r="U501">
        <v>0.45</v>
      </c>
      <c r="V501">
        <v>-3.2025000000000006</v>
      </c>
      <c r="W501" s="3">
        <v>3.42</v>
      </c>
      <c r="X501" t="s">
        <v>933</v>
      </c>
    </row>
    <row r="502" spans="1:24" x14ac:dyDescent="0.25">
      <c r="A502">
        <v>29092</v>
      </c>
      <c r="B502" t="s">
        <v>2358</v>
      </c>
      <c r="C502" s="1">
        <v>41608</v>
      </c>
      <c r="D502" s="1">
        <v>41615</v>
      </c>
      <c r="E502" t="s">
        <v>19</v>
      </c>
      <c r="F502" t="s">
        <v>1254</v>
      </c>
      <c r="G502" t="s">
        <v>109</v>
      </c>
      <c r="H502" t="s">
        <v>39</v>
      </c>
      <c r="I502" t="s">
        <v>916</v>
      </c>
      <c r="J502" t="s">
        <v>911</v>
      </c>
      <c r="K502" t="s">
        <v>903</v>
      </c>
      <c r="M502" t="s">
        <v>2991</v>
      </c>
      <c r="N502" t="s">
        <v>946</v>
      </c>
      <c r="O502" t="s">
        <v>2940</v>
      </c>
      <c r="P502" t="s">
        <v>22</v>
      </c>
      <c r="Q502" t="s">
        <v>30</v>
      </c>
      <c r="R502" t="s">
        <v>84</v>
      </c>
      <c r="S502">
        <v>42.075000000000003</v>
      </c>
      <c r="T502">
        <v>2</v>
      </c>
      <c r="U502">
        <v>0.45</v>
      </c>
      <c r="V502">
        <v>2.2949999999999946</v>
      </c>
      <c r="W502" s="3">
        <v>6.57</v>
      </c>
      <c r="X502" t="s">
        <v>934</v>
      </c>
    </row>
    <row r="503" spans="1:24" x14ac:dyDescent="0.25">
      <c r="A503">
        <v>26123</v>
      </c>
      <c r="B503" t="s">
        <v>2178</v>
      </c>
      <c r="C503" s="1">
        <v>42288</v>
      </c>
      <c r="D503" s="1">
        <v>42293</v>
      </c>
      <c r="E503" t="s">
        <v>19</v>
      </c>
      <c r="F503" t="s">
        <v>1258</v>
      </c>
      <c r="G503" t="s">
        <v>826</v>
      </c>
      <c r="H503" t="s">
        <v>20</v>
      </c>
      <c r="I503" t="s">
        <v>918</v>
      </c>
      <c r="J503" t="s">
        <v>911</v>
      </c>
      <c r="K503" t="s">
        <v>903</v>
      </c>
      <c r="M503" t="s">
        <v>2991</v>
      </c>
      <c r="N503" t="s">
        <v>946</v>
      </c>
      <c r="O503" t="s">
        <v>2626</v>
      </c>
      <c r="P503" t="s">
        <v>27</v>
      </c>
      <c r="Q503" t="s">
        <v>936</v>
      </c>
      <c r="R503" t="s">
        <v>167</v>
      </c>
      <c r="S503">
        <v>42.052499999999995</v>
      </c>
      <c r="T503">
        <v>3</v>
      </c>
      <c r="U503">
        <v>0.25</v>
      </c>
      <c r="V503">
        <v>7.7625000000000028</v>
      </c>
      <c r="W503" s="3">
        <v>2.97</v>
      </c>
      <c r="X503" t="s">
        <v>931</v>
      </c>
    </row>
    <row r="504" spans="1:24" x14ac:dyDescent="0.25">
      <c r="A504">
        <v>20648</v>
      </c>
      <c r="B504" t="s">
        <v>1858</v>
      </c>
      <c r="C504" s="1">
        <v>42568</v>
      </c>
      <c r="D504" s="1">
        <v>42573</v>
      </c>
      <c r="E504" t="s">
        <v>19</v>
      </c>
      <c r="F504" t="s">
        <v>1198</v>
      </c>
      <c r="G504" t="s">
        <v>305</v>
      </c>
      <c r="H504" t="s">
        <v>20</v>
      </c>
      <c r="I504" t="s">
        <v>921</v>
      </c>
      <c r="J504" t="s">
        <v>902</v>
      </c>
      <c r="K504" t="s">
        <v>903</v>
      </c>
      <c r="M504" t="s">
        <v>2991</v>
      </c>
      <c r="N504" t="s">
        <v>946</v>
      </c>
      <c r="O504" t="s">
        <v>2561</v>
      </c>
      <c r="P504" t="s">
        <v>22</v>
      </c>
      <c r="Q504" t="s">
        <v>940</v>
      </c>
      <c r="R504" t="s">
        <v>506</v>
      </c>
      <c r="S504">
        <v>41.629500000000007</v>
      </c>
      <c r="T504">
        <v>3</v>
      </c>
      <c r="U504">
        <v>0.45</v>
      </c>
      <c r="V504">
        <v>-29.560500000000005</v>
      </c>
      <c r="W504" s="3">
        <v>4.3600000000000003</v>
      </c>
      <c r="X504" t="s">
        <v>933</v>
      </c>
    </row>
    <row r="505" spans="1:24" x14ac:dyDescent="0.25">
      <c r="A505">
        <v>21125</v>
      </c>
      <c r="B505" t="s">
        <v>1883</v>
      </c>
      <c r="C505" s="1">
        <v>42714</v>
      </c>
      <c r="D505" s="1">
        <v>42718</v>
      </c>
      <c r="E505" t="s">
        <v>43</v>
      </c>
      <c r="F505" t="s">
        <v>1099</v>
      </c>
      <c r="G505" t="s">
        <v>89</v>
      </c>
      <c r="H505" t="s">
        <v>37</v>
      </c>
      <c r="I505" t="s">
        <v>906</v>
      </c>
      <c r="J505" t="s">
        <v>902</v>
      </c>
      <c r="K505" t="s">
        <v>903</v>
      </c>
      <c r="M505" t="s">
        <v>2991</v>
      </c>
      <c r="N505" t="s">
        <v>946</v>
      </c>
      <c r="O505" t="s">
        <v>2621</v>
      </c>
      <c r="P505" t="s">
        <v>22</v>
      </c>
      <c r="Q505" t="s">
        <v>942</v>
      </c>
      <c r="R505" t="s">
        <v>642</v>
      </c>
      <c r="S505">
        <v>41.514000000000003</v>
      </c>
      <c r="T505">
        <v>1</v>
      </c>
      <c r="U505">
        <v>0.15000000000000002</v>
      </c>
      <c r="V505">
        <v>-0.5160000000000009</v>
      </c>
      <c r="W505" s="3">
        <v>7.73</v>
      </c>
      <c r="X505" t="s">
        <v>931</v>
      </c>
    </row>
    <row r="506" spans="1:24" x14ac:dyDescent="0.25">
      <c r="A506">
        <v>22636</v>
      </c>
      <c r="B506" t="s">
        <v>1973</v>
      </c>
      <c r="C506" s="1">
        <v>42558</v>
      </c>
      <c r="D506" s="1">
        <v>42562</v>
      </c>
      <c r="E506" t="s">
        <v>19</v>
      </c>
      <c r="F506" t="s">
        <v>1069</v>
      </c>
      <c r="G506" t="s">
        <v>170</v>
      </c>
      <c r="H506" t="s">
        <v>20</v>
      </c>
      <c r="I506" t="s">
        <v>906</v>
      </c>
      <c r="J506" t="s">
        <v>902</v>
      </c>
      <c r="K506" t="s">
        <v>903</v>
      </c>
      <c r="M506" t="s">
        <v>2991</v>
      </c>
      <c r="N506" t="s">
        <v>946</v>
      </c>
      <c r="O506" t="s">
        <v>2584</v>
      </c>
      <c r="P506" t="s">
        <v>22</v>
      </c>
      <c r="Q506" t="s">
        <v>30</v>
      </c>
      <c r="R506" t="s">
        <v>453</v>
      </c>
      <c r="S506">
        <v>41.134500000000003</v>
      </c>
      <c r="T506">
        <v>3</v>
      </c>
      <c r="U506">
        <v>0.45</v>
      </c>
      <c r="V506">
        <v>1.4444999999999908</v>
      </c>
      <c r="W506" s="3">
        <v>1.3</v>
      </c>
      <c r="X506" t="s">
        <v>933</v>
      </c>
    </row>
    <row r="507" spans="1:24" x14ac:dyDescent="0.25">
      <c r="A507">
        <v>24357</v>
      </c>
      <c r="B507" t="s">
        <v>2074</v>
      </c>
      <c r="C507" s="1">
        <v>42019</v>
      </c>
      <c r="D507" s="1">
        <v>42025</v>
      </c>
      <c r="E507" t="s">
        <v>19</v>
      </c>
      <c r="F507" t="s">
        <v>1287</v>
      </c>
      <c r="G507" t="s">
        <v>397</v>
      </c>
      <c r="H507" t="s">
        <v>20</v>
      </c>
      <c r="I507" t="s">
        <v>906</v>
      </c>
      <c r="J507" t="s">
        <v>902</v>
      </c>
      <c r="K507" t="s">
        <v>903</v>
      </c>
      <c r="M507" t="s">
        <v>2991</v>
      </c>
      <c r="N507" t="s">
        <v>946</v>
      </c>
      <c r="O507" t="s">
        <v>2759</v>
      </c>
      <c r="P507" t="s">
        <v>22</v>
      </c>
      <c r="Q507" t="s">
        <v>23</v>
      </c>
      <c r="R507" t="s">
        <v>772</v>
      </c>
      <c r="S507">
        <v>40.425000000000004</v>
      </c>
      <c r="T507">
        <v>7</v>
      </c>
      <c r="U507">
        <v>0.45</v>
      </c>
      <c r="V507">
        <v>-1.5750000000000028</v>
      </c>
      <c r="W507" s="3">
        <v>5.57</v>
      </c>
      <c r="X507" t="s">
        <v>934</v>
      </c>
    </row>
    <row r="508" spans="1:24" x14ac:dyDescent="0.25">
      <c r="A508">
        <v>26408</v>
      </c>
      <c r="B508" t="s">
        <v>2199</v>
      </c>
      <c r="C508" s="1">
        <v>42019</v>
      </c>
      <c r="D508" s="1">
        <v>42025</v>
      </c>
      <c r="E508" t="s">
        <v>19</v>
      </c>
      <c r="F508" t="s">
        <v>1260</v>
      </c>
      <c r="G508" t="s">
        <v>421</v>
      </c>
      <c r="H508" t="s">
        <v>37</v>
      </c>
      <c r="I508" t="s">
        <v>906</v>
      </c>
      <c r="J508" t="s">
        <v>902</v>
      </c>
      <c r="K508" t="s">
        <v>903</v>
      </c>
      <c r="M508" t="s">
        <v>2991</v>
      </c>
      <c r="N508" t="s">
        <v>946</v>
      </c>
      <c r="O508" t="s">
        <v>2978</v>
      </c>
      <c r="P508" t="s">
        <v>22</v>
      </c>
      <c r="Q508" t="s">
        <v>940</v>
      </c>
      <c r="R508" t="s">
        <v>376</v>
      </c>
      <c r="S508">
        <v>39.847500000000004</v>
      </c>
      <c r="T508">
        <v>3</v>
      </c>
      <c r="U508">
        <v>0.45</v>
      </c>
      <c r="V508">
        <v>-19.642499999999998</v>
      </c>
      <c r="W508" s="3">
        <v>1.86</v>
      </c>
      <c r="X508" t="s">
        <v>934</v>
      </c>
    </row>
    <row r="509" spans="1:24" x14ac:dyDescent="0.25">
      <c r="A509">
        <v>29435</v>
      </c>
      <c r="B509" t="s">
        <v>2377</v>
      </c>
      <c r="C509" s="1">
        <v>42518</v>
      </c>
      <c r="D509" s="1">
        <v>42525</v>
      </c>
      <c r="E509" t="s">
        <v>19</v>
      </c>
      <c r="F509" t="s">
        <v>958</v>
      </c>
      <c r="G509" t="s">
        <v>330</v>
      </c>
      <c r="H509" t="s">
        <v>37</v>
      </c>
      <c r="I509" t="s">
        <v>901</v>
      </c>
      <c r="J509" t="s">
        <v>902</v>
      </c>
      <c r="K509" t="s">
        <v>903</v>
      </c>
      <c r="M509" t="s">
        <v>2991</v>
      </c>
      <c r="N509" t="s">
        <v>946</v>
      </c>
      <c r="O509" t="s">
        <v>2805</v>
      </c>
      <c r="P509" t="s">
        <v>22</v>
      </c>
      <c r="Q509" t="s">
        <v>940</v>
      </c>
      <c r="R509" t="s">
        <v>749</v>
      </c>
      <c r="S509">
        <v>39.567</v>
      </c>
      <c r="T509">
        <v>2</v>
      </c>
      <c r="U509">
        <v>0.45</v>
      </c>
      <c r="V509">
        <v>-15.152999999999999</v>
      </c>
      <c r="W509" s="3">
        <v>1.95</v>
      </c>
      <c r="X509" t="s">
        <v>933</v>
      </c>
    </row>
    <row r="510" spans="1:24" x14ac:dyDescent="0.25">
      <c r="A510">
        <v>28718</v>
      </c>
      <c r="B510" t="s">
        <v>2338</v>
      </c>
      <c r="C510" s="1">
        <v>42598</v>
      </c>
      <c r="D510" s="1">
        <v>42601</v>
      </c>
      <c r="E510" t="s">
        <v>43</v>
      </c>
      <c r="F510" t="s">
        <v>1114</v>
      </c>
      <c r="G510" t="s">
        <v>639</v>
      </c>
      <c r="H510" t="s">
        <v>20</v>
      </c>
      <c r="I510" t="s">
        <v>906</v>
      </c>
      <c r="J510" t="s">
        <v>902</v>
      </c>
      <c r="K510" t="s">
        <v>903</v>
      </c>
      <c r="M510" t="s">
        <v>2991</v>
      </c>
      <c r="N510" t="s">
        <v>946</v>
      </c>
      <c r="O510" t="s">
        <v>2781</v>
      </c>
      <c r="P510" t="s">
        <v>22</v>
      </c>
      <c r="Q510" t="s">
        <v>941</v>
      </c>
      <c r="R510" t="s">
        <v>650</v>
      </c>
      <c r="S510">
        <v>38.692500000000003</v>
      </c>
      <c r="T510">
        <v>5</v>
      </c>
      <c r="U510">
        <v>0.45</v>
      </c>
      <c r="V510">
        <v>-12.757499999999993</v>
      </c>
      <c r="W510" s="3">
        <v>2.79</v>
      </c>
      <c r="X510" t="s">
        <v>933</v>
      </c>
    </row>
    <row r="511" spans="1:24" x14ac:dyDescent="0.25">
      <c r="A511">
        <v>23755</v>
      </c>
      <c r="B511" t="s">
        <v>2044</v>
      </c>
      <c r="C511" s="1">
        <v>42055</v>
      </c>
      <c r="D511" s="1">
        <v>42061</v>
      </c>
      <c r="E511" t="s">
        <v>19</v>
      </c>
      <c r="F511" t="s">
        <v>1085</v>
      </c>
      <c r="G511" t="s">
        <v>741</v>
      </c>
      <c r="H511" t="s">
        <v>37</v>
      </c>
      <c r="I511" t="s">
        <v>906</v>
      </c>
      <c r="J511" t="s">
        <v>902</v>
      </c>
      <c r="K511" t="s">
        <v>903</v>
      </c>
      <c r="M511" t="s">
        <v>2991</v>
      </c>
      <c r="N511" t="s">
        <v>946</v>
      </c>
      <c r="O511" t="s">
        <v>2608</v>
      </c>
      <c r="P511" t="s">
        <v>22</v>
      </c>
      <c r="Q511" t="s">
        <v>940</v>
      </c>
      <c r="R511" t="s">
        <v>213</v>
      </c>
      <c r="S511">
        <v>38.412000000000006</v>
      </c>
      <c r="T511">
        <v>2</v>
      </c>
      <c r="U511">
        <v>0.45</v>
      </c>
      <c r="V511">
        <v>-3.5279999999999987</v>
      </c>
      <c r="W511" s="3">
        <v>3.8</v>
      </c>
      <c r="X511" t="s">
        <v>934</v>
      </c>
    </row>
    <row r="512" spans="1:24" x14ac:dyDescent="0.25">
      <c r="A512">
        <v>20931</v>
      </c>
      <c r="B512" t="s">
        <v>1875</v>
      </c>
      <c r="C512" s="1">
        <v>42640</v>
      </c>
      <c r="D512" s="1">
        <v>42647</v>
      </c>
      <c r="E512" t="s">
        <v>19</v>
      </c>
      <c r="F512" t="s">
        <v>1355</v>
      </c>
      <c r="G512" t="s">
        <v>877</v>
      </c>
      <c r="H512" t="s">
        <v>39</v>
      </c>
      <c r="I512" t="s">
        <v>906</v>
      </c>
      <c r="J512" t="s">
        <v>902</v>
      </c>
      <c r="K512" t="s">
        <v>903</v>
      </c>
      <c r="M512" t="s">
        <v>2991</v>
      </c>
      <c r="N512" t="s">
        <v>946</v>
      </c>
      <c r="O512" t="s">
        <v>2629</v>
      </c>
      <c r="P512" t="s">
        <v>22</v>
      </c>
      <c r="Q512" t="s">
        <v>937</v>
      </c>
      <c r="R512" t="s">
        <v>469</v>
      </c>
      <c r="S512">
        <v>38.362499999999997</v>
      </c>
      <c r="T512">
        <v>3</v>
      </c>
      <c r="U512">
        <v>0.45</v>
      </c>
      <c r="V512">
        <v>-18.877499999999998</v>
      </c>
      <c r="W512" s="3">
        <v>2.77</v>
      </c>
      <c r="X512" t="s">
        <v>933</v>
      </c>
    </row>
    <row r="513" spans="1:24" x14ac:dyDescent="0.25">
      <c r="A513">
        <v>23136</v>
      </c>
      <c r="B513" t="s">
        <v>2008</v>
      </c>
      <c r="C513" s="1">
        <v>42512</v>
      </c>
      <c r="D513" s="1">
        <v>42517</v>
      </c>
      <c r="E513" t="s">
        <v>43</v>
      </c>
      <c r="F513" t="s">
        <v>1191</v>
      </c>
      <c r="G513" t="s">
        <v>339</v>
      </c>
      <c r="H513" t="s">
        <v>39</v>
      </c>
      <c r="I513" t="s">
        <v>906</v>
      </c>
      <c r="J513" t="s">
        <v>902</v>
      </c>
      <c r="K513" t="s">
        <v>903</v>
      </c>
      <c r="M513" t="s">
        <v>2991</v>
      </c>
      <c r="N513" t="s">
        <v>946</v>
      </c>
      <c r="O513" t="s">
        <v>2685</v>
      </c>
      <c r="P513" t="s">
        <v>22</v>
      </c>
      <c r="Q513" t="s">
        <v>937</v>
      </c>
      <c r="R513" t="s">
        <v>862</v>
      </c>
      <c r="S513">
        <v>38.280000000000008</v>
      </c>
      <c r="T513">
        <v>4</v>
      </c>
      <c r="U513">
        <v>0.45</v>
      </c>
      <c r="V513">
        <v>1.3199999999999967</v>
      </c>
      <c r="W513" s="3">
        <v>3.38</v>
      </c>
      <c r="X513" t="s">
        <v>933</v>
      </c>
    </row>
    <row r="514" spans="1:24" x14ac:dyDescent="0.25">
      <c r="A514">
        <v>22967</v>
      </c>
      <c r="B514" t="s">
        <v>1994</v>
      </c>
      <c r="C514" s="1">
        <v>42530</v>
      </c>
      <c r="D514" s="1">
        <v>42534</v>
      </c>
      <c r="E514" t="s">
        <v>19</v>
      </c>
      <c r="F514" t="s">
        <v>1053</v>
      </c>
      <c r="G514" t="s">
        <v>451</v>
      </c>
      <c r="H514" t="s">
        <v>20</v>
      </c>
      <c r="I514" t="s">
        <v>909</v>
      </c>
      <c r="J514" t="s">
        <v>902</v>
      </c>
      <c r="K514" t="s">
        <v>903</v>
      </c>
      <c r="M514" t="s">
        <v>2991</v>
      </c>
      <c r="N514" t="s">
        <v>946</v>
      </c>
      <c r="O514" t="s">
        <v>2881</v>
      </c>
      <c r="P514" t="s">
        <v>27</v>
      </c>
      <c r="Q514" t="s">
        <v>936</v>
      </c>
      <c r="R514" t="s">
        <v>282</v>
      </c>
      <c r="S514">
        <v>37.71</v>
      </c>
      <c r="T514">
        <v>2</v>
      </c>
      <c r="U514">
        <v>0.25</v>
      </c>
      <c r="V514">
        <v>5.0100000000000016</v>
      </c>
      <c r="W514" s="3">
        <v>3.9</v>
      </c>
      <c r="X514" t="s">
        <v>931</v>
      </c>
    </row>
    <row r="515" spans="1:24" x14ac:dyDescent="0.25">
      <c r="A515">
        <v>25136</v>
      </c>
      <c r="B515" t="s">
        <v>2114</v>
      </c>
      <c r="C515" s="1">
        <v>42176</v>
      </c>
      <c r="D515" s="1">
        <v>42177</v>
      </c>
      <c r="E515" t="s">
        <v>47</v>
      </c>
      <c r="F515" t="s">
        <v>1005</v>
      </c>
      <c r="G515" t="s">
        <v>505</v>
      </c>
      <c r="H515" t="s">
        <v>37</v>
      </c>
      <c r="I515" t="s">
        <v>901</v>
      </c>
      <c r="J515" t="s">
        <v>902</v>
      </c>
      <c r="K515" t="s">
        <v>903</v>
      </c>
      <c r="M515" t="s">
        <v>2991</v>
      </c>
      <c r="N515" t="s">
        <v>946</v>
      </c>
      <c r="O515" t="s">
        <v>2765</v>
      </c>
      <c r="P515" t="s">
        <v>27</v>
      </c>
      <c r="Q515" t="s">
        <v>936</v>
      </c>
      <c r="R515" t="s">
        <v>403</v>
      </c>
      <c r="S515">
        <v>37.484999999999999</v>
      </c>
      <c r="T515">
        <v>2</v>
      </c>
      <c r="U515">
        <v>0.25</v>
      </c>
      <c r="V515">
        <v>-0.55500000000000149</v>
      </c>
      <c r="W515" s="3">
        <v>7.69</v>
      </c>
      <c r="X515" t="s">
        <v>931</v>
      </c>
    </row>
    <row r="516" spans="1:24" x14ac:dyDescent="0.25">
      <c r="A516">
        <v>22239</v>
      </c>
      <c r="B516" t="s">
        <v>1945</v>
      </c>
      <c r="C516" s="1">
        <v>42378</v>
      </c>
      <c r="D516" s="1">
        <v>42383</v>
      </c>
      <c r="E516" t="s">
        <v>19</v>
      </c>
      <c r="F516" t="s">
        <v>1159</v>
      </c>
      <c r="G516" t="s">
        <v>106</v>
      </c>
      <c r="H516" t="s">
        <v>37</v>
      </c>
      <c r="I516" t="s">
        <v>906</v>
      </c>
      <c r="J516" t="s">
        <v>902</v>
      </c>
      <c r="K516" t="s">
        <v>903</v>
      </c>
      <c r="M516" t="s">
        <v>2991</v>
      </c>
      <c r="N516" t="s">
        <v>946</v>
      </c>
      <c r="O516" t="s">
        <v>2478</v>
      </c>
      <c r="P516" t="s">
        <v>22</v>
      </c>
      <c r="Q516" t="s">
        <v>937</v>
      </c>
      <c r="R516" t="s">
        <v>355</v>
      </c>
      <c r="S516">
        <v>36.630000000000003</v>
      </c>
      <c r="T516">
        <v>3</v>
      </c>
      <c r="U516">
        <v>0.45</v>
      </c>
      <c r="V516">
        <v>1.9799999999999969</v>
      </c>
      <c r="W516" s="3">
        <v>1.94</v>
      </c>
      <c r="X516" t="s">
        <v>933</v>
      </c>
    </row>
    <row r="517" spans="1:24" x14ac:dyDescent="0.25">
      <c r="A517">
        <v>27603</v>
      </c>
      <c r="B517" t="s">
        <v>2284</v>
      </c>
      <c r="C517" s="1">
        <v>42357</v>
      </c>
      <c r="D517" s="1">
        <v>42362</v>
      </c>
      <c r="E517" t="s">
        <v>19</v>
      </c>
      <c r="F517" t="s">
        <v>1034</v>
      </c>
      <c r="G517" t="s">
        <v>713</v>
      </c>
      <c r="H517" t="s">
        <v>37</v>
      </c>
      <c r="I517" t="s">
        <v>906</v>
      </c>
      <c r="J517" t="s">
        <v>902</v>
      </c>
      <c r="K517" t="s">
        <v>903</v>
      </c>
      <c r="M517" t="s">
        <v>2991</v>
      </c>
      <c r="N517" t="s">
        <v>946</v>
      </c>
      <c r="O517" t="s">
        <v>2530</v>
      </c>
      <c r="P517" t="s">
        <v>27</v>
      </c>
      <c r="Q517" t="s">
        <v>936</v>
      </c>
      <c r="R517" t="s">
        <v>320</v>
      </c>
      <c r="S517">
        <v>35.865000000000002</v>
      </c>
      <c r="T517">
        <v>2</v>
      </c>
      <c r="U517">
        <v>0.25</v>
      </c>
      <c r="V517">
        <v>-8.1750000000000007</v>
      </c>
      <c r="W517" s="3">
        <v>1.88</v>
      </c>
      <c r="X517" t="s">
        <v>933</v>
      </c>
    </row>
    <row r="518" spans="1:24" x14ac:dyDescent="0.25">
      <c r="A518">
        <v>28233</v>
      </c>
      <c r="B518" t="s">
        <v>2315</v>
      </c>
      <c r="C518" s="1">
        <v>42643</v>
      </c>
      <c r="D518" s="1">
        <v>42647</v>
      </c>
      <c r="E518" t="s">
        <v>43</v>
      </c>
      <c r="F518" t="s">
        <v>1326</v>
      </c>
      <c r="G518" t="s">
        <v>168</v>
      </c>
      <c r="H518" t="s">
        <v>37</v>
      </c>
      <c r="I518" t="s">
        <v>906</v>
      </c>
      <c r="J518" t="s">
        <v>902</v>
      </c>
      <c r="K518" t="s">
        <v>903</v>
      </c>
      <c r="M518" t="s">
        <v>2991</v>
      </c>
      <c r="N518" t="s">
        <v>946</v>
      </c>
      <c r="O518" t="s">
        <v>2979</v>
      </c>
      <c r="P518" t="s">
        <v>27</v>
      </c>
      <c r="Q518" t="s">
        <v>936</v>
      </c>
      <c r="R518" t="s">
        <v>761</v>
      </c>
      <c r="S518">
        <v>35.707499999999996</v>
      </c>
      <c r="T518">
        <v>3</v>
      </c>
      <c r="U518">
        <v>0.25</v>
      </c>
      <c r="V518">
        <v>1.4175000000000004</v>
      </c>
      <c r="W518" s="3">
        <v>6.92</v>
      </c>
      <c r="X518" t="s">
        <v>931</v>
      </c>
    </row>
    <row r="519" spans="1:24" x14ac:dyDescent="0.25">
      <c r="A519">
        <v>23180</v>
      </c>
      <c r="B519" t="s">
        <v>2012</v>
      </c>
      <c r="C519" s="1">
        <v>42404</v>
      </c>
      <c r="D519" s="1">
        <v>42407</v>
      </c>
      <c r="E519" t="s">
        <v>47</v>
      </c>
      <c r="F519" t="s">
        <v>1364</v>
      </c>
      <c r="G519" t="s">
        <v>186</v>
      </c>
      <c r="H519" t="s">
        <v>39</v>
      </c>
      <c r="I519" t="s">
        <v>906</v>
      </c>
      <c r="J519" t="s">
        <v>902</v>
      </c>
      <c r="K519" t="s">
        <v>903</v>
      </c>
      <c r="M519" t="s">
        <v>2991</v>
      </c>
      <c r="N519" t="s">
        <v>946</v>
      </c>
      <c r="O519" t="s">
        <v>2625</v>
      </c>
      <c r="P519" t="s">
        <v>22</v>
      </c>
      <c r="Q519" t="s">
        <v>940</v>
      </c>
      <c r="R519" t="s">
        <v>737</v>
      </c>
      <c r="S519">
        <v>35.640000000000008</v>
      </c>
      <c r="T519">
        <v>5</v>
      </c>
      <c r="U519">
        <v>0.45</v>
      </c>
      <c r="V519">
        <v>-15.660000000000004</v>
      </c>
      <c r="W519" s="3">
        <v>4.3600000000000003</v>
      </c>
      <c r="X519" t="s">
        <v>933</v>
      </c>
    </row>
    <row r="520" spans="1:24" x14ac:dyDescent="0.25">
      <c r="A520">
        <v>28146</v>
      </c>
      <c r="B520" t="s">
        <v>2309</v>
      </c>
      <c r="C520" s="1">
        <v>42250</v>
      </c>
      <c r="D520" s="1">
        <v>42255</v>
      </c>
      <c r="E520" t="s">
        <v>19</v>
      </c>
      <c r="F520" t="s">
        <v>1087</v>
      </c>
      <c r="G520" t="s">
        <v>357</v>
      </c>
      <c r="H520" t="s">
        <v>20</v>
      </c>
      <c r="I520" t="s">
        <v>901</v>
      </c>
      <c r="J520" t="s">
        <v>902</v>
      </c>
      <c r="K520" t="s">
        <v>903</v>
      </c>
      <c r="M520" t="s">
        <v>2991</v>
      </c>
      <c r="N520" t="s">
        <v>946</v>
      </c>
      <c r="O520" t="s">
        <v>2876</v>
      </c>
      <c r="P520" t="s">
        <v>27</v>
      </c>
      <c r="Q520" t="s">
        <v>939</v>
      </c>
      <c r="R520" t="s">
        <v>491</v>
      </c>
      <c r="S520">
        <v>35.549999999999997</v>
      </c>
      <c r="T520">
        <v>1</v>
      </c>
      <c r="U520">
        <v>0.25</v>
      </c>
      <c r="V520">
        <v>-0.47999999999999865</v>
      </c>
      <c r="W520" s="3">
        <v>2.17</v>
      </c>
      <c r="X520" t="s">
        <v>931</v>
      </c>
    </row>
    <row r="521" spans="1:24" x14ac:dyDescent="0.25">
      <c r="A521">
        <v>27503</v>
      </c>
      <c r="B521" t="s">
        <v>2279</v>
      </c>
      <c r="C521" s="1">
        <v>42250</v>
      </c>
      <c r="D521" s="1">
        <v>42255</v>
      </c>
      <c r="E521" t="s">
        <v>19</v>
      </c>
      <c r="F521" t="s">
        <v>1015</v>
      </c>
      <c r="G521" t="s">
        <v>134</v>
      </c>
      <c r="H521" t="s">
        <v>20</v>
      </c>
      <c r="I521" t="s">
        <v>906</v>
      </c>
      <c r="J521" t="s">
        <v>902</v>
      </c>
      <c r="K521" t="s">
        <v>903</v>
      </c>
      <c r="M521" t="s">
        <v>2991</v>
      </c>
      <c r="N521" t="s">
        <v>946</v>
      </c>
      <c r="O521" t="s">
        <v>2560</v>
      </c>
      <c r="P521" t="s">
        <v>22</v>
      </c>
      <c r="Q521" t="s">
        <v>30</v>
      </c>
      <c r="R521" t="s">
        <v>857</v>
      </c>
      <c r="S521">
        <v>35.442000000000007</v>
      </c>
      <c r="T521">
        <v>6</v>
      </c>
      <c r="U521">
        <v>0.45</v>
      </c>
      <c r="V521">
        <v>-27.738</v>
      </c>
      <c r="W521" s="3">
        <v>2.09</v>
      </c>
      <c r="X521" t="s">
        <v>933</v>
      </c>
    </row>
    <row r="522" spans="1:24" x14ac:dyDescent="0.25">
      <c r="A522">
        <v>25785</v>
      </c>
      <c r="B522" t="s">
        <v>2159</v>
      </c>
      <c r="C522" s="1">
        <v>42596</v>
      </c>
      <c r="D522" s="1">
        <v>42598</v>
      </c>
      <c r="E522" t="s">
        <v>47</v>
      </c>
      <c r="F522" t="s">
        <v>1157</v>
      </c>
      <c r="G522" t="s">
        <v>725</v>
      </c>
      <c r="H522" t="s">
        <v>20</v>
      </c>
      <c r="I522" t="s">
        <v>906</v>
      </c>
      <c r="J522" t="s">
        <v>902</v>
      </c>
      <c r="K522" t="s">
        <v>903</v>
      </c>
      <c r="M522" t="s">
        <v>2991</v>
      </c>
      <c r="N522" t="s">
        <v>946</v>
      </c>
      <c r="O522" t="s">
        <v>2852</v>
      </c>
      <c r="P522" t="s">
        <v>22</v>
      </c>
      <c r="Q522" t="s">
        <v>942</v>
      </c>
      <c r="R522" t="s">
        <v>446</v>
      </c>
      <c r="S522">
        <v>35.266499999999994</v>
      </c>
      <c r="T522">
        <v>3</v>
      </c>
      <c r="U522">
        <v>0.15000000000000002</v>
      </c>
      <c r="V522">
        <v>3.6765000000000008</v>
      </c>
      <c r="W522" s="3">
        <v>3.21</v>
      </c>
      <c r="X522" t="s">
        <v>931</v>
      </c>
    </row>
    <row r="523" spans="1:24" x14ac:dyDescent="0.25">
      <c r="A523">
        <v>23548</v>
      </c>
      <c r="B523" t="s">
        <v>2033</v>
      </c>
      <c r="C523" s="1">
        <v>41874</v>
      </c>
      <c r="D523" s="1">
        <v>41877</v>
      </c>
      <c r="E523" t="s">
        <v>43</v>
      </c>
      <c r="F523" t="s">
        <v>1166</v>
      </c>
      <c r="G523" t="s">
        <v>102</v>
      </c>
      <c r="H523" t="s">
        <v>37</v>
      </c>
      <c r="I523" t="s">
        <v>906</v>
      </c>
      <c r="J523" t="s">
        <v>902</v>
      </c>
      <c r="K523" t="s">
        <v>903</v>
      </c>
      <c r="M523" t="s">
        <v>2991</v>
      </c>
      <c r="N523" t="s">
        <v>946</v>
      </c>
      <c r="O523" t="s">
        <v>2725</v>
      </c>
      <c r="P523" t="s">
        <v>22</v>
      </c>
      <c r="Q523" t="s">
        <v>69</v>
      </c>
      <c r="R523" t="s">
        <v>594</v>
      </c>
      <c r="S523">
        <v>34.848000000000006</v>
      </c>
      <c r="T523">
        <v>3</v>
      </c>
      <c r="U523">
        <v>0.45</v>
      </c>
      <c r="V523">
        <v>3.1679999999999957</v>
      </c>
      <c r="W523" s="3">
        <v>2.74</v>
      </c>
      <c r="X523" t="s">
        <v>931</v>
      </c>
    </row>
    <row r="524" spans="1:24" x14ac:dyDescent="0.25">
      <c r="A524">
        <v>20650</v>
      </c>
      <c r="B524" t="s">
        <v>1859</v>
      </c>
      <c r="C524" s="1">
        <v>42681</v>
      </c>
      <c r="D524" s="1">
        <v>42684</v>
      </c>
      <c r="E524" t="s">
        <v>47</v>
      </c>
      <c r="F524" t="s">
        <v>1439</v>
      </c>
      <c r="G524" t="s">
        <v>294</v>
      </c>
      <c r="H524" t="s">
        <v>20</v>
      </c>
      <c r="I524" t="s">
        <v>906</v>
      </c>
      <c r="J524" t="s">
        <v>902</v>
      </c>
      <c r="K524" t="s">
        <v>903</v>
      </c>
      <c r="M524" t="s">
        <v>2991</v>
      </c>
      <c r="N524" t="s">
        <v>946</v>
      </c>
      <c r="O524" t="s">
        <v>2489</v>
      </c>
      <c r="P524" t="s">
        <v>22</v>
      </c>
      <c r="Q524" t="s">
        <v>942</v>
      </c>
      <c r="R524" t="s">
        <v>423</v>
      </c>
      <c r="S524">
        <v>34.424999999999997</v>
      </c>
      <c r="T524">
        <v>3</v>
      </c>
      <c r="U524">
        <v>0.15000000000000002</v>
      </c>
      <c r="V524">
        <v>13.725</v>
      </c>
      <c r="W524" s="3">
        <v>11.7</v>
      </c>
      <c r="X524" t="s">
        <v>932</v>
      </c>
    </row>
    <row r="525" spans="1:24" x14ac:dyDescent="0.25">
      <c r="A525">
        <v>25603</v>
      </c>
      <c r="B525" t="s">
        <v>2148</v>
      </c>
      <c r="C525" s="1">
        <v>41606</v>
      </c>
      <c r="D525" s="1">
        <v>41611</v>
      </c>
      <c r="E525" t="s">
        <v>19</v>
      </c>
      <c r="F525" t="s">
        <v>1347</v>
      </c>
      <c r="G525" t="s">
        <v>100</v>
      </c>
      <c r="H525" t="s">
        <v>20</v>
      </c>
      <c r="I525" t="s">
        <v>924</v>
      </c>
      <c r="J525" t="s">
        <v>911</v>
      </c>
      <c r="K525" t="s">
        <v>903</v>
      </c>
      <c r="M525" t="s">
        <v>2991</v>
      </c>
      <c r="N525" t="s">
        <v>946</v>
      </c>
      <c r="O525" t="s">
        <v>2482</v>
      </c>
      <c r="P525" t="s">
        <v>22</v>
      </c>
      <c r="Q525" t="s">
        <v>935</v>
      </c>
      <c r="R525" t="s">
        <v>846</v>
      </c>
      <c r="S525">
        <v>34.286999999999999</v>
      </c>
      <c r="T525">
        <v>2</v>
      </c>
      <c r="U525">
        <v>0.45</v>
      </c>
      <c r="V525">
        <v>-26.192999999999998</v>
      </c>
      <c r="W525" s="3">
        <v>1.1499999999999999</v>
      </c>
      <c r="X525" t="s">
        <v>933</v>
      </c>
    </row>
    <row r="526" spans="1:24" x14ac:dyDescent="0.25">
      <c r="A526">
        <v>20907</v>
      </c>
      <c r="B526" t="s">
        <v>1874</v>
      </c>
      <c r="C526" s="1">
        <v>42573</v>
      </c>
      <c r="D526" s="1">
        <v>42578</v>
      </c>
      <c r="E526" t="s">
        <v>43</v>
      </c>
      <c r="F526" t="s">
        <v>1024</v>
      </c>
      <c r="G526" t="s">
        <v>775</v>
      </c>
      <c r="H526" t="s">
        <v>20</v>
      </c>
      <c r="I526" t="s">
        <v>906</v>
      </c>
      <c r="J526" t="s">
        <v>902</v>
      </c>
      <c r="K526" t="s">
        <v>903</v>
      </c>
      <c r="M526" t="s">
        <v>2991</v>
      </c>
      <c r="N526" t="s">
        <v>946</v>
      </c>
      <c r="O526" t="s">
        <v>2623</v>
      </c>
      <c r="P526" t="s">
        <v>22</v>
      </c>
      <c r="Q526" t="s">
        <v>942</v>
      </c>
      <c r="R526" t="s">
        <v>365</v>
      </c>
      <c r="S526">
        <v>33.965999999999994</v>
      </c>
      <c r="T526">
        <v>6</v>
      </c>
      <c r="U526">
        <v>0.15000000000000002</v>
      </c>
      <c r="V526">
        <v>8.7659999999999982</v>
      </c>
      <c r="W526" s="3">
        <v>4.93</v>
      </c>
      <c r="X526" t="s">
        <v>933</v>
      </c>
    </row>
    <row r="527" spans="1:24" x14ac:dyDescent="0.25">
      <c r="A527">
        <v>22016</v>
      </c>
      <c r="B527" t="s">
        <v>1931</v>
      </c>
      <c r="C527" s="1">
        <v>42295</v>
      </c>
      <c r="D527" s="1">
        <v>42300</v>
      </c>
      <c r="E527" t="s">
        <v>43</v>
      </c>
      <c r="F527" t="s">
        <v>1055</v>
      </c>
      <c r="G527" t="s">
        <v>133</v>
      </c>
      <c r="H527" t="s">
        <v>20</v>
      </c>
      <c r="I527" t="s">
        <v>916</v>
      </c>
      <c r="J527" t="s">
        <v>911</v>
      </c>
      <c r="K527" t="s">
        <v>903</v>
      </c>
      <c r="M527" t="s">
        <v>2991</v>
      </c>
      <c r="N527" t="s">
        <v>946</v>
      </c>
      <c r="O527" t="s">
        <v>2572</v>
      </c>
      <c r="P527" t="s">
        <v>22</v>
      </c>
      <c r="Q527" t="s">
        <v>942</v>
      </c>
      <c r="R527" t="s">
        <v>776</v>
      </c>
      <c r="S527">
        <v>33.965999999999994</v>
      </c>
      <c r="T527">
        <v>3</v>
      </c>
      <c r="U527">
        <v>0.15000000000000002</v>
      </c>
      <c r="V527">
        <v>-5.400000000000027E-2</v>
      </c>
      <c r="W527" s="3">
        <v>3.6</v>
      </c>
      <c r="X527" t="s">
        <v>933</v>
      </c>
    </row>
    <row r="528" spans="1:24" x14ac:dyDescent="0.25">
      <c r="A528">
        <v>20928</v>
      </c>
      <c r="B528" t="s">
        <v>1875</v>
      </c>
      <c r="C528" s="1">
        <v>42640</v>
      </c>
      <c r="D528" s="1">
        <v>42647</v>
      </c>
      <c r="E528" t="s">
        <v>19</v>
      </c>
      <c r="F528" t="s">
        <v>1355</v>
      </c>
      <c r="G528" t="s">
        <v>877</v>
      </c>
      <c r="H528" t="s">
        <v>39</v>
      </c>
      <c r="I528" t="s">
        <v>906</v>
      </c>
      <c r="J528" t="s">
        <v>902</v>
      </c>
      <c r="K528" t="s">
        <v>903</v>
      </c>
      <c r="M528" t="s">
        <v>2991</v>
      </c>
      <c r="N528" t="s">
        <v>946</v>
      </c>
      <c r="O528" t="s">
        <v>2627</v>
      </c>
      <c r="P528" t="s">
        <v>22</v>
      </c>
      <c r="Q528" t="s">
        <v>940</v>
      </c>
      <c r="R528" t="s">
        <v>875</v>
      </c>
      <c r="S528">
        <v>33.923999999999999</v>
      </c>
      <c r="T528">
        <v>4</v>
      </c>
      <c r="U528">
        <v>0.45</v>
      </c>
      <c r="V528">
        <v>-12.995999999999997</v>
      </c>
      <c r="W528" s="3">
        <v>0.95</v>
      </c>
      <c r="X528" t="s">
        <v>933</v>
      </c>
    </row>
    <row r="529" spans="1:24" x14ac:dyDescent="0.25">
      <c r="A529">
        <v>29722</v>
      </c>
      <c r="B529" t="s">
        <v>2392</v>
      </c>
      <c r="C529" s="1">
        <v>41603</v>
      </c>
      <c r="D529" s="1">
        <v>41608</v>
      </c>
      <c r="E529" t="s">
        <v>19</v>
      </c>
      <c r="F529" t="s">
        <v>1000</v>
      </c>
      <c r="G529" t="s">
        <v>144</v>
      </c>
      <c r="H529" t="s">
        <v>39</v>
      </c>
      <c r="I529" t="s">
        <v>916</v>
      </c>
      <c r="J529" t="s">
        <v>911</v>
      </c>
      <c r="K529" t="s">
        <v>903</v>
      </c>
      <c r="M529" t="s">
        <v>2991</v>
      </c>
      <c r="N529" t="s">
        <v>946</v>
      </c>
      <c r="O529" t="s">
        <v>2632</v>
      </c>
      <c r="P529" t="s">
        <v>22</v>
      </c>
      <c r="Q529" t="s">
        <v>941</v>
      </c>
      <c r="R529" t="s">
        <v>129</v>
      </c>
      <c r="S529">
        <v>33.841500000000011</v>
      </c>
      <c r="T529">
        <v>7</v>
      </c>
      <c r="U529">
        <v>0.45</v>
      </c>
      <c r="V529">
        <v>-26.638500000000004</v>
      </c>
      <c r="W529" s="3">
        <v>4.6500000000000004</v>
      </c>
      <c r="X529" t="s">
        <v>931</v>
      </c>
    </row>
    <row r="530" spans="1:24" x14ac:dyDescent="0.25">
      <c r="A530">
        <v>21629</v>
      </c>
      <c r="B530" t="s">
        <v>1910</v>
      </c>
      <c r="C530" s="1">
        <v>42461</v>
      </c>
      <c r="D530" s="1">
        <v>42467</v>
      </c>
      <c r="E530" t="s">
        <v>19</v>
      </c>
      <c r="F530" t="s">
        <v>1014</v>
      </c>
      <c r="G530" t="s">
        <v>873</v>
      </c>
      <c r="H530" t="s">
        <v>39</v>
      </c>
      <c r="I530" t="s">
        <v>906</v>
      </c>
      <c r="J530" t="s">
        <v>902</v>
      </c>
      <c r="K530" t="s">
        <v>903</v>
      </c>
      <c r="M530" t="s">
        <v>2991</v>
      </c>
      <c r="N530" t="s">
        <v>946</v>
      </c>
      <c r="O530" t="s">
        <v>2741</v>
      </c>
      <c r="P530" t="s">
        <v>22</v>
      </c>
      <c r="Q530" t="s">
        <v>942</v>
      </c>
      <c r="R530" t="s">
        <v>181</v>
      </c>
      <c r="S530">
        <v>33.787499999999994</v>
      </c>
      <c r="T530">
        <v>5</v>
      </c>
      <c r="U530">
        <v>0.15000000000000002</v>
      </c>
      <c r="V530">
        <v>1.0874999999999995</v>
      </c>
      <c r="W530" s="3">
        <v>1.2</v>
      </c>
      <c r="X530" t="s">
        <v>933</v>
      </c>
    </row>
    <row r="531" spans="1:24" x14ac:dyDescent="0.25">
      <c r="A531">
        <v>26074</v>
      </c>
      <c r="B531" t="s">
        <v>2171</v>
      </c>
      <c r="C531" s="1">
        <v>41501</v>
      </c>
      <c r="D531" s="1">
        <v>41503</v>
      </c>
      <c r="E531" t="s">
        <v>47</v>
      </c>
      <c r="F531" t="s">
        <v>989</v>
      </c>
      <c r="G531" t="s">
        <v>867</v>
      </c>
      <c r="H531" t="s">
        <v>20</v>
      </c>
      <c r="I531" t="s">
        <v>220</v>
      </c>
      <c r="J531" t="s">
        <v>919</v>
      </c>
      <c r="K531" t="s">
        <v>903</v>
      </c>
      <c r="M531" t="s">
        <v>2991</v>
      </c>
      <c r="N531" t="s">
        <v>946</v>
      </c>
      <c r="O531" t="s">
        <v>2476</v>
      </c>
      <c r="P531" t="s">
        <v>22</v>
      </c>
      <c r="Q531" t="s">
        <v>69</v>
      </c>
      <c r="R531" t="s">
        <v>745</v>
      </c>
      <c r="S531">
        <v>32.735999999999997</v>
      </c>
      <c r="T531">
        <v>4</v>
      </c>
      <c r="U531">
        <v>0.45</v>
      </c>
      <c r="V531">
        <v>-9.0239999999999974</v>
      </c>
      <c r="W531" s="3">
        <v>7.7</v>
      </c>
      <c r="X531" t="s">
        <v>933</v>
      </c>
    </row>
    <row r="532" spans="1:24" x14ac:dyDescent="0.25">
      <c r="A532">
        <v>21820</v>
      </c>
      <c r="B532" t="s">
        <v>1921</v>
      </c>
      <c r="C532" s="1">
        <v>42642</v>
      </c>
      <c r="D532" s="1">
        <v>42645</v>
      </c>
      <c r="E532" t="s">
        <v>43</v>
      </c>
      <c r="F532" t="s">
        <v>1181</v>
      </c>
      <c r="G532" t="s">
        <v>299</v>
      </c>
      <c r="H532" t="s">
        <v>20</v>
      </c>
      <c r="I532" t="s">
        <v>907</v>
      </c>
      <c r="J532" t="s">
        <v>902</v>
      </c>
      <c r="K532" t="s">
        <v>903</v>
      </c>
      <c r="M532" t="s">
        <v>2991</v>
      </c>
      <c r="N532" t="s">
        <v>946</v>
      </c>
      <c r="O532" t="s">
        <v>2652</v>
      </c>
      <c r="P532" t="s">
        <v>22</v>
      </c>
      <c r="Q532" t="s">
        <v>937</v>
      </c>
      <c r="R532" t="s">
        <v>400</v>
      </c>
      <c r="S532">
        <v>32.571000000000005</v>
      </c>
      <c r="T532">
        <v>2</v>
      </c>
      <c r="U532">
        <v>0.45</v>
      </c>
      <c r="V532">
        <v>-5.3490000000000038</v>
      </c>
      <c r="W532" s="3">
        <v>3.52</v>
      </c>
      <c r="X532" t="s">
        <v>931</v>
      </c>
    </row>
    <row r="533" spans="1:24" x14ac:dyDescent="0.25">
      <c r="A533">
        <v>26274</v>
      </c>
      <c r="B533" t="s">
        <v>2189</v>
      </c>
      <c r="C533" s="1">
        <v>42560</v>
      </c>
      <c r="D533" s="1">
        <v>42563</v>
      </c>
      <c r="E533" t="s">
        <v>43</v>
      </c>
      <c r="F533" t="s">
        <v>1297</v>
      </c>
      <c r="G533" t="s">
        <v>147</v>
      </c>
      <c r="H533" t="s">
        <v>20</v>
      </c>
      <c r="I533" t="s">
        <v>921</v>
      </c>
      <c r="J533" t="s">
        <v>902</v>
      </c>
      <c r="K533" t="s">
        <v>903</v>
      </c>
      <c r="M533" t="s">
        <v>2991</v>
      </c>
      <c r="N533" t="s">
        <v>946</v>
      </c>
      <c r="O533" t="s">
        <v>2544</v>
      </c>
      <c r="P533" t="s">
        <v>31</v>
      </c>
      <c r="Q533" t="s">
        <v>945</v>
      </c>
      <c r="R533" t="s">
        <v>73</v>
      </c>
      <c r="S533">
        <v>32.340000000000003</v>
      </c>
      <c r="T533">
        <v>2</v>
      </c>
      <c r="U533">
        <v>0.45</v>
      </c>
      <c r="V533">
        <v>-10.620000000000001</v>
      </c>
      <c r="W533" s="3">
        <v>6.48</v>
      </c>
      <c r="X533" t="s">
        <v>932</v>
      </c>
    </row>
    <row r="534" spans="1:24" x14ac:dyDescent="0.25">
      <c r="A534">
        <v>24433</v>
      </c>
      <c r="B534" t="s">
        <v>2078</v>
      </c>
      <c r="C534" s="1">
        <v>42417</v>
      </c>
      <c r="D534" s="1">
        <v>42418</v>
      </c>
      <c r="E534" t="s">
        <v>47</v>
      </c>
      <c r="F534" t="s">
        <v>1021</v>
      </c>
      <c r="G534" t="s">
        <v>555</v>
      </c>
      <c r="H534" t="s">
        <v>20</v>
      </c>
      <c r="I534" t="s">
        <v>922</v>
      </c>
      <c r="J534" t="s">
        <v>923</v>
      </c>
      <c r="K534" t="s">
        <v>903</v>
      </c>
      <c r="M534" t="s">
        <v>2991</v>
      </c>
      <c r="N534" t="s">
        <v>946</v>
      </c>
      <c r="O534" t="s">
        <v>2738</v>
      </c>
      <c r="P534" t="s">
        <v>22</v>
      </c>
      <c r="Q534" t="s">
        <v>940</v>
      </c>
      <c r="R534" t="s">
        <v>895</v>
      </c>
      <c r="S534">
        <v>31.845000000000002</v>
      </c>
      <c r="T534">
        <v>5</v>
      </c>
      <c r="U534">
        <v>0.45</v>
      </c>
      <c r="V534">
        <v>-22.004999999999999</v>
      </c>
      <c r="W534" s="3">
        <v>6.27</v>
      </c>
      <c r="X534" t="s">
        <v>931</v>
      </c>
    </row>
    <row r="535" spans="1:24" x14ac:dyDescent="0.25">
      <c r="A535">
        <v>22640</v>
      </c>
      <c r="B535" t="s">
        <v>1973</v>
      </c>
      <c r="C535" s="1">
        <v>42558</v>
      </c>
      <c r="D535" s="1">
        <v>42562</v>
      </c>
      <c r="E535" t="s">
        <v>19</v>
      </c>
      <c r="F535" t="s">
        <v>1069</v>
      </c>
      <c r="G535" t="s">
        <v>170</v>
      </c>
      <c r="H535" t="s">
        <v>20</v>
      </c>
      <c r="I535" t="s">
        <v>906</v>
      </c>
      <c r="J535" t="s">
        <v>902</v>
      </c>
      <c r="K535" t="s">
        <v>903</v>
      </c>
      <c r="M535" t="s">
        <v>2991</v>
      </c>
      <c r="N535" t="s">
        <v>946</v>
      </c>
      <c r="O535" t="s">
        <v>2496</v>
      </c>
      <c r="P535" t="s">
        <v>22</v>
      </c>
      <c r="Q535" t="s">
        <v>941</v>
      </c>
      <c r="R535" t="s">
        <v>832</v>
      </c>
      <c r="S535">
        <v>31.680000000000007</v>
      </c>
      <c r="T535">
        <v>3</v>
      </c>
      <c r="U535">
        <v>0.45</v>
      </c>
      <c r="V535">
        <v>-24.840000000000011</v>
      </c>
      <c r="W535" s="3">
        <v>3.21</v>
      </c>
      <c r="X535" t="s">
        <v>933</v>
      </c>
    </row>
    <row r="536" spans="1:24" x14ac:dyDescent="0.25">
      <c r="A536">
        <v>28140</v>
      </c>
      <c r="B536" t="s">
        <v>2308</v>
      </c>
      <c r="C536" s="1">
        <v>42708</v>
      </c>
      <c r="D536" s="1">
        <v>42714</v>
      </c>
      <c r="E536" t="s">
        <v>19</v>
      </c>
      <c r="F536" t="s">
        <v>1138</v>
      </c>
      <c r="G536" t="s">
        <v>683</v>
      </c>
      <c r="H536" t="s">
        <v>20</v>
      </c>
      <c r="I536" t="s">
        <v>907</v>
      </c>
      <c r="J536" t="s">
        <v>902</v>
      </c>
      <c r="K536" t="s">
        <v>903</v>
      </c>
      <c r="M536" t="s">
        <v>2991</v>
      </c>
      <c r="N536" t="s">
        <v>946</v>
      </c>
      <c r="O536" t="s">
        <v>2672</v>
      </c>
      <c r="P536" t="s">
        <v>22</v>
      </c>
      <c r="Q536" t="s">
        <v>942</v>
      </c>
      <c r="R536" t="s">
        <v>448</v>
      </c>
      <c r="S536">
        <v>31.517999999999994</v>
      </c>
      <c r="T536">
        <v>3</v>
      </c>
      <c r="U536">
        <v>0.15000000000000002</v>
      </c>
      <c r="V536">
        <v>12.167999999999999</v>
      </c>
      <c r="W536" s="3">
        <v>1.66</v>
      </c>
      <c r="X536" t="s">
        <v>933</v>
      </c>
    </row>
    <row r="537" spans="1:24" x14ac:dyDescent="0.25">
      <c r="A537">
        <v>24218</v>
      </c>
      <c r="B537" t="s">
        <v>2067</v>
      </c>
      <c r="C537" s="1">
        <v>42593</v>
      </c>
      <c r="D537" s="1">
        <v>42598</v>
      </c>
      <c r="E537" t="s">
        <v>43</v>
      </c>
      <c r="F537" t="s">
        <v>1012</v>
      </c>
      <c r="G537" t="s">
        <v>266</v>
      </c>
      <c r="H537" t="s">
        <v>20</v>
      </c>
      <c r="I537" t="s">
        <v>914</v>
      </c>
      <c r="J537" t="s">
        <v>915</v>
      </c>
      <c r="K537" t="s">
        <v>903</v>
      </c>
      <c r="M537" t="s">
        <v>2991</v>
      </c>
      <c r="N537" t="s">
        <v>946</v>
      </c>
      <c r="O537" t="s">
        <v>2795</v>
      </c>
      <c r="P537" t="s">
        <v>31</v>
      </c>
      <c r="Q537" t="s">
        <v>945</v>
      </c>
      <c r="R537" t="s">
        <v>387</v>
      </c>
      <c r="S537">
        <v>31.152000000000005</v>
      </c>
      <c r="T537">
        <v>2</v>
      </c>
      <c r="U537">
        <v>0.45</v>
      </c>
      <c r="V537">
        <v>-0.58799999999999741</v>
      </c>
      <c r="W537" s="3">
        <v>1.58</v>
      </c>
      <c r="X537" t="s">
        <v>933</v>
      </c>
    </row>
    <row r="538" spans="1:24" x14ac:dyDescent="0.25">
      <c r="A538">
        <v>28593</v>
      </c>
      <c r="B538" t="s">
        <v>2333</v>
      </c>
      <c r="C538" s="1">
        <v>42666</v>
      </c>
      <c r="D538" s="1">
        <v>42671</v>
      </c>
      <c r="E538" t="s">
        <v>19</v>
      </c>
      <c r="F538" t="s">
        <v>1415</v>
      </c>
      <c r="G538" t="s">
        <v>413</v>
      </c>
      <c r="H538" t="s">
        <v>39</v>
      </c>
      <c r="I538" t="s">
        <v>909</v>
      </c>
      <c r="J538" t="s">
        <v>902</v>
      </c>
      <c r="K538" t="s">
        <v>903</v>
      </c>
      <c r="M538" t="s">
        <v>2991</v>
      </c>
      <c r="N538" t="s">
        <v>946</v>
      </c>
      <c r="O538" t="s">
        <v>2542</v>
      </c>
      <c r="P538" t="s">
        <v>22</v>
      </c>
      <c r="Q538" t="s">
        <v>937</v>
      </c>
      <c r="R538" t="s">
        <v>422</v>
      </c>
      <c r="S538">
        <v>31.135499999999997</v>
      </c>
      <c r="T538">
        <v>3</v>
      </c>
      <c r="U538">
        <v>0.45</v>
      </c>
      <c r="V538">
        <v>1.0755000000000088</v>
      </c>
      <c r="W538" s="3">
        <v>2.1</v>
      </c>
      <c r="X538" t="s">
        <v>933</v>
      </c>
    </row>
    <row r="539" spans="1:24" x14ac:dyDescent="0.25">
      <c r="A539">
        <v>20651</v>
      </c>
      <c r="B539" t="s">
        <v>1859</v>
      </c>
      <c r="C539" s="1">
        <v>42681</v>
      </c>
      <c r="D539" s="1">
        <v>42684</v>
      </c>
      <c r="E539" t="s">
        <v>47</v>
      </c>
      <c r="F539" t="s">
        <v>1439</v>
      </c>
      <c r="G539" t="s">
        <v>294</v>
      </c>
      <c r="H539" t="s">
        <v>20</v>
      </c>
      <c r="I539" t="s">
        <v>906</v>
      </c>
      <c r="J539" t="s">
        <v>902</v>
      </c>
      <c r="K539" t="s">
        <v>903</v>
      </c>
      <c r="M539" t="s">
        <v>2991</v>
      </c>
      <c r="N539" t="s">
        <v>946</v>
      </c>
      <c r="O539" t="s">
        <v>2563</v>
      </c>
      <c r="P539" t="s">
        <v>22</v>
      </c>
      <c r="Q539" t="s">
        <v>941</v>
      </c>
      <c r="R539" t="s">
        <v>625</v>
      </c>
      <c r="S539">
        <v>31.036500000000004</v>
      </c>
      <c r="T539">
        <v>3</v>
      </c>
      <c r="U539">
        <v>0.45</v>
      </c>
      <c r="V539">
        <v>-20.893500000000003</v>
      </c>
      <c r="W539" s="3">
        <v>9.98</v>
      </c>
      <c r="X539" t="s">
        <v>932</v>
      </c>
    </row>
    <row r="540" spans="1:24" x14ac:dyDescent="0.25">
      <c r="A540">
        <v>29871</v>
      </c>
      <c r="B540" t="s">
        <v>2406</v>
      </c>
      <c r="C540" s="1">
        <v>42600</v>
      </c>
      <c r="D540" s="1">
        <v>42604</v>
      </c>
      <c r="E540" t="s">
        <v>19</v>
      </c>
      <c r="F540" t="s">
        <v>965</v>
      </c>
      <c r="G540" t="s">
        <v>854</v>
      </c>
      <c r="H540" t="s">
        <v>20</v>
      </c>
      <c r="I540" t="s">
        <v>905</v>
      </c>
      <c r="J540" t="s">
        <v>902</v>
      </c>
      <c r="K540" t="s">
        <v>903</v>
      </c>
      <c r="M540" t="s">
        <v>2991</v>
      </c>
      <c r="N540" t="s">
        <v>946</v>
      </c>
      <c r="O540" t="s">
        <v>2631</v>
      </c>
      <c r="P540" t="s">
        <v>22</v>
      </c>
      <c r="Q540" t="s">
        <v>942</v>
      </c>
      <c r="R540" t="s">
        <v>74</v>
      </c>
      <c r="S540">
        <v>30.854999999999997</v>
      </c>
      <c r="T540">
        <v>5</v>
      </c>
      <c r="U540">
        <v>0.15000000000000002</v>
      </c>
      <c r="V540">
        <v>1.004999999999999</v>
      </c>
      <c r="W540" s="3">
        <v>0.81</v>
      </c>
      <c r="X540" t="s">
        <v>933</v>
      </c>
    </row>
    <row r="541" spans="1:24" x14ac:dyDescent="0.25">
      <c r="A541">
        <v>22637</v>
      </c>
      <c r="B541" t="s">
        <v>1973</v>
      </c>
      <c r="C541" s="1">
        <v>42558</v>
      </c>
      <c r="D541" s="1">
        <v>42562</v>
      </c>
      <c r="E541" t="s">
        <v>19</v>
      </c>
      <c r="F541" t="s">
        <v>1069</v>
      </c>
      <c r="G541" t="s">
        <v>170</v>
      </c>
      <c r="H541" t="s">
        <v>20</v>
      </c>
      <c r="I541" t="s">
        <v>906</v>
      </c>
      <c r="J541" t="s">
        <v>902</v>
      </c>
      <c r="K541" t="s">
        <v>903</v>
      </c>
      <c r="M541" t="s">
        <v>2991</v>
      </c>
      <c r="N541" t="s">
        <v>946</v>
      </c>
      <c r="O541" t="s">
        <v>2797</v>
      </c>
      <c r="P541" t="s">
        <v>22</v>
      </c>
      <c r="Q541" t="s">
        <v>30</v>
      </c>
      <c r="R541" t="s">
        <v>430</v>
      </c>
      <c r="S541">
        <v>30.838500000000007</v>
      </c>
      <c r="T541">
        <v>3</v>
      </c>
      <c r="U541">
        <v>0.45</v>
      </c>
      <c r="V541">
        <v>-23.611500000000003</v>
      </c>
      <c r="W541" s="3">
        <v>1.5</v>
      </c>
      <c r="X541" t="s">
        <v>933</v>
      </c>
    </row>
    <row r="542" spans="1:24" x14ac:dyDescent="0.25">
      <c r="A542">
        <v>28832</v>
      </c>
      <c r="B542" t="s">
        <v>2344</v>
      </c>
      <c r="C542" s="1">
        <v>42643</v>
      </c>
      <c r="D542" s="1">
        <v>42647</v>
      </c>
      <c r="E542" t="s">
        <v>43</v>
      </c>
      <c r="F542" t="s">
        <v>980</v>
      </c>
      <c r="G542" t="s">
        <v>533</v>
      </c>
      <c r="H542" t="s">
        <v>20</v>
      </c>
      <c r="I542" t="s">
        <v>906</v>
      </c>
      <c r="J542" t="s">
        <v>902</v>
      </c>
      <c r="K542" t="s">
        <v>903</v>
      </c>
      <c r="M542" t="s">
        <v>2991</v>
      </c>
      <c r="N542" t="s">
        <v>946</v>
      </c>
      <c r="O542" t="s">
        <v>2504</v>
      </c>
      <c r="P542" t="s">
        <v>22</v>
      </c>
      <c r="Q542" t="s">
        <v>69</v>
      </c>
      <c r="R542" t="s">
        <v>731</v>
      </c>
      <c r="S542">
        <v>30.756000000000004</v>
      </c>
      <c r="T542">
        <v>2</v>
      </c>
      <c r="U542">
        <v>0.45</v>
      </c>
      <c r="V542">
        <v>-4.5240000000000009</v>
      </c>
      <c r="W542" s="3">
        <v>3.49</v>
      </c>
      <c r="X542" t="s">
        <v>931</v>
      </c>
    </row>
    <row r="543" spans="1:24" x14ac:dyDescent="0.25">
      <c r="A543">
        <v>26891</v>
      </c>
      <c r="B543" t="s">
        <v>2227</v>
      </c>
      <c r="C543" s="1">
        <v>42169</v>
      </c>
      <c r="D543" s="1">
        <v>42169</v>
      </c>
      <c r="E543" t="s">
        <v>58</v>
      </c>
      <c r="F543" t="s">
        <v>975</v>
      </c>
      <c r="G543" t="s">
        <v>882</v>
      </c>
      <c r="H543" t="s">
        <v>39</v>
      </c>
      <c r="I543" t="s">
        <v>82</v>
      </c>
      <c r="J543" t="s">
        <v>911</v>
      </c>
      <c r="K543" t="s">
        <v>903</v>
      </c>
      <c r="M543" t="s">
        <v>2991</v>
      </c>
      <c r="N543" t="s">
        <v>946</v>
      </c>
      <c r="O543" t="s">
        <v>2830</v>
      </c>
      <c r="P543" t="s">
        <v>27</v>
      </c>
      <c r="Q543" t="s">
        <v>936</v>
      </c>
      <c r="R543" t="s">
        <v>836</v>
      </c>
      <c r="S543">
        <v>30.69</v>
      </c>
      <c r="T543">
        <v>1</v>
      </c>
      <c r="U543">
        <v>0.25</v>
      </c>
      <c r="V543">
        <v>-5.3400000000000007</v>
      </c>
      <c r="W543" s="3">
        <v>4.57</v>
      </c>
      <c r="X543" t="s">
        <v>933</v>
      </c>
    </row>
    <row r="544" spans="1:24" x14ac:dyDescent="0.25">
      <c r="A544">
        <v>23181</v>
      </c>
      <c r="B544" t="s">
        <v>2012</v>
      </c>
      <c r="C544" s="1">
        <v>42404</v>
      </c>
      <c r="D544" s="1">
        <v>42407</v>
      </c>
      <c r="E544" t="s">
        <v>47</v>
      </c>
      <c r="F544" t="s">
        <v>1364</v>
      </c>
      <c r="G544" t="s">
        <v>186</v>
      </c>
      <c r="H544" t="s">
        <v>39</v>
      </c>
      <c r="I544" t="s">
        <v>906</v>
      </c>
      <c r="J544" t="s">
        <v>902</v>
      </c>
      <c r="K544" t="s">
        <v>903</v>
      </c>
      <c r="M544" t="s">
        <v>2991</v>
      </c>
      <c r="N544" t="s">
        <v>946</v>
      </c>
      <c r="O544" t="s">
        <v>2556</v>
      </c>
      <c r="P544" t="s">
        <v>22</v>
      </c>
      <c r="Q544" t="s">
        <v>942</v>
      </c>
      <c r="R544" t="s">
        <v>205</v>
      </c>
      <c r="S544">
        <v>30.599999999999998</v>
      </c>
      <c r="T544">
        <v>3</v>
      </c>
      <c r="U544">
        <v>0.15000000000000002</v>
      </c>
      <c r="V544">
        <v>-1.7999999999999998</v>
      </c>
      <c r="W544" s="3">
        <v>4.75</v>
      </c>
      <c r="X544" t="s">
        <v>933</v>
      </c>
    </row>
    <row r="545" spans="1:24" x14ac:dyDescent="0.25">
      <c r="A545">
        <v>29826</v>
      </c>
      <c r="B545" t="s">
        <v>2398</v>
      </c>
      <c r="C545" s="1">
        <v>42684</v>
      </c>
      <c r="D545" s="1">
        <v>42689</v>
      </c>
      <c r="E545" t="s">
        <v>19</v>
      </c>
      <c r="F545" t="s">
        <v>1235</v>
      </c>
      <c r="G545" t="s">
        <v>425</v>
      </c>
      <c r="H545" t="s">
        <v>20</v>
      </c>
      <c r="I545" t="s">
        <v>906</v>
      </c>
      <c r="J545" t="s">
        <v>902</v>
      </c>
      <c r="K545" t="s">
        <v>903</v>
      </c>
      <c r="M545" t="s">
        <v>2991</v>
      </c>
      <c r="N545" t="s">
        <v>946</v>
      </c>
      <c r="O545" t="s">
        <v>2834</v>
      </c>
      <c r="P545" t="s">
        <v>22</v>
      </c>
      <c r="Q545" t="s">
        <v>23</v>
      </c>
      <c r="R545" t="s">
        <v>154</v>
      </c>
      <c r="S545">
        <v>30.525000000000002</v>
      </c>
      <c r="T545">
        <v>5</v>
      </c>
      <c r="U545">
        <v>0.45</v>
      </c>
      <c r="V545">
        <v>-1.125</v>
      </c>
      <c r="W545" s="3">
        <v>2.78</v>
      </c>
      <c r="X545" t="s">
        <v>933</v>
      </c>
    </row>
    <row r="546" spans="1:24" x14ac:dyDescent="0.25">
      <c r="A546">
        <v>23103</v>
      </c>
      <c r="B546" t="s">
        <v>2005</v>
      </c>
      <c r="C546" s="1">
        <v>41363</v>
      </c>
      <c r="D546" s="1">
        <v>41367</v>
      </c>
      <c r="E546" t="s">
        <v>19</v>
      </c>
      <c r="F546" t="s">
        <v>1230</v>
      </c>
      <c r="G546" t="s">
        <v>382</v>
      </c>
      <c r="H546" t="s">
        <v>20</v>
      </c>
      <c r="I546" t="s">
        <v>906</v>
      </c>
      <c r="J546" t="s">
        <v>902</v>
      </c>
      <c r="K546" t="s">
        <v>903</v>
      </c>
      <c r="M546" t="s">
        <v>2991</v>
      </c>
      <c r="N546" t="s">
        <v>946</v>
      </c>
      <c r="O546" t="s">
        <v>2589</v>
      </c>
      <c r="P546" t="s">
        <v>22</v>
      </c>
      <c r="Q546" t="s">
        <v>941</v>
      </c>
      <c r="R546" t="s">
        <v>187</v>
      </c>
      <c r="S546">
        <v>30.442500000000003</v>
      </c>
      <c r="T546">
        <v>5</v>
      </c>
      <c r="U546">
        <v>0.45</v>
      </c>
      <c r="V546">
        <v>-24.457500000000003</v>
      </c>
      <c r="W546" s="3">
        <v>3.65</v>
      </c>
      <c r="X546" t="s">
        <v>933</v>
      </c>
    </row>
    <row r="547" spans="1:24" x14ac:dyDescent="0.25">
      <c r="A547">
        <v>24232</v>
      </c>
      <c r="B547" t="s">
        <v>2069</v>
      </c>
      <c r="C547" s="1">
        <v>42165</v>
      </c>
      <c r="D547" s="1">
        <v>42169</v>
      </c>
      <c r="E547" t="s">
        <v>19</v>
      </c>
      <c r="F547" t="s">
        <v>1143</v>
      </c>
      <c r="G547" t="s">
        <v>414</v>
      </c>
      <c r="H547" t="s">
        <v>20</v>
      </c>
      <c r="I547" t="s">
        <v>906</v>
      </c>
      <c r="J547" t="s">
        <v>902</v>
      </c>
      <c r="K547" t="s">
        <v>903</v>
      </c>
      <c r="M547" t="s">
        <v>2991</v>
      </c>
      <c r="N547" t="s">
        <v>946</v>
      </c>
      <c r="O547" t="s">
        <v>2675</v>
      </c>
      <c r="P547" t="s">
        <v>22</v>
      </c>
      <c r="Q547" t="s">
        <v>23</v>
      </c>
      <c r="R547" t="s">
        <v>620</v>
      </c>
      <c r="S547">
        <v>30.36</v>
      </c>
      <c r="T547">
        <v>8</v>
      </c>
      <c r="U547">
        <v>0.45</v>
      </c>
      <c r="V547">
        <v>-16.68</v>
      </c>
      <c r="W547" s="3">
        <v>4.51</v>
      </c>
      <c r="X547" t="s">
        <v>931</v>
      </c>
    </row>
    <row r="548" spans="1:24" x14ac:dyDescent="0.25">
      <c r="A548">
        <v>27309</v>
      </c>
      <c r="B548" t="s">
        <v>2263</v>
      </c>
      <c r="C548" s="1">
        <v>42467</v>
      </c>
      <c r="D548" s="1">
        <v>42471</v>
      </c>
      <c r="E548" t="s">
        <v>19</v>
      </c>
      <c r="F548" t="s">
        <v>1121</v>
      </c>
      <c r="G548" t="s">
        <v>126</v>
      </c>
      <c r="H548" t="s">
        <v>37</v>
      </c>
      <c r="I548" t="s">
        <v>910</v>
      </c>
      <c r="J548" t="s">
        <v>902</v>
      </c>
      <c r="K548" t="s">
        <v>903</v>
      </c>
      <c r="M548" t="s">
        <v>2991</v>
      </c>
      <c r="N548" t="s">
        <v>946</v>
      </c>
      <c r="O548" t="s">
        <v>2819</v>
      </c>
      <c r="P548" t="s">
        <v>22</v>
      </c>
      <c r="Q548" t="s">
        <v>30</v>
      </c>
      <c r="R548" t="s">
        <v>242</v>
      </c>
      <c r="S548">
        <v>30.03</v>
      </c>
      <c r="T548">
        <v>7</v>
      </c>
      <c r="U548">
        <v>0.45</v>
      </c>
      <c r="V548">
        <v>-1.6799999999999962</v>
      </c>
      <c r="W548" s="3">
        <v>2.23</v>
      </c>
      <c r="X548" t="s">
        <v>933</v>
      </c>
    </row>
    <row r="549" spans="1:24" x14ac:dyDescent="0.25">
      <c r="A549">
        <v>22825</v>
      </c>
      <c r="B549" t="s">
        <v>1988</v>
      </c>
      <c r="C549" s="1">
        <v>42628</v>
      </c>
      <c r="D549" s="1">
        <v>42633</v>
      </c>
      <c r="E549" t="s">
        <v>19</v>
      </c>
      <c r="F549" t="s">
        <v>1023</v>
      </c>
      <c r="G549" t="s">
        <v>171</v>
      </c>
      <c r="H549" t="s">
        <v>39</v>
      </c>
      <c r="I549" t="s">
        <v>906</v>
      </c>
      <c r="J549" t="s">
        <v>902</v>
      </c>
      <c r="K549" t="s">
        <v>903</v>
      </c>
      <c r="M549" t="s">
        <v>2991</v>
      </c>
      <c r="N549" t="s">
        <v>946</v>
      </c>
      <c r="O549" t="s">
        <v>2874</v>
      </c>
      <c r="P549" t="s">
        <v>22</v>
      </c>
      <c r="Q549" t="s">
        <v>30</v>
      </c>
      <c r="R549" t="s">
        <v>246</v>
      </c>
      <c r="S549">
        <v>29.799000000000007</v>
      </c>
      <c r="T549">
        <v>2</v>
      </c>
      <c r="U549">
        <v>0.45</v>
      </c>
      <c r="V549">
        <v>-2.1000000000004349E-2</v>
      </c>
      <c r="W549" s="3">
        <v>3.2</v>
      </c>
      <c r="X549" t="s">
        <v>931</v>
      </c>
    </row>
    <row r="550" spans="1:24" x14ac:dyDescent="0.25">
      <c r="A550">
        <v>22263</v>
      </c>
      <c r="B550" t="s">
        <v>1947</v>
      </c>
      <c r="C550" s="1">
        <v>42132</v>
      </c>
      <c r="D550" s="1">
        <v>42134</v>
      </c>
      <c r="E550" t="s">
        <v>47</v>
      </c>
      <c r="F550" t="s">
        <v>1316</v>
      </c>
      <c r="G550" t="s">
        <v>528</v>
      </c>
      <c r="H550" t="s">
        <v>20</v>
      </c>
      <c r="I550" t="s">
        <v>906</v>
      </c>
      <c r="J550" t="s">
        <v>902</v>
      </c>
      <c r="K550" t="s">
        <v>903</v>
      </c>
      <c r="M550" t="s">
        <v>2991</v>
      </c>
      <c r="N550" t="s">
        <v>946</v>
      </c>
      <c r="O550" t="s">
        <v>2557</v>
      </c>
      <c r="P550" t="s">
        <v>22</v>
      </c>
      <c r="Q550" t="s">
        <v>23</v>
      </c>
      <c r="R550" t="s">
        <v>599</v>
      </c>
      <c r="S550">
        <v>29.798999999999999</v>
      </c>
      <c r="T550">
        <v>6</v>
      </c>
      <c r="U550">
        <v>0.45</v>
      </c>
      <c r="V550">
        <v>-4.4009999999999962</v>
      </c>
      <c r="W550" s="3">
        <v>6.75</v>
      </c>
      <c r="X550" t="s">
        <v>932</v>
      </c>
    </row>
    <row r="551" spans="1:24" x14ac:dyDescent="0.25">
      <c r="A551">
        <v>28066</v>
      </c>
      <c r="B551" t="s">
        <v>2303</v>
      </c>
      <c r="C551" s="1">
        <v>42634</v>
      </c>
      <c r="D551" s="1">
        <v>42639</v>
      </c>
      <c r="E551" t="s">
        <v>19</v>
      </c>
      <c r="F551" t="s">
        <v>1007</v>
      </c>
      <c r="G551" t="s">
        <v>539</v>
      </c>
      <c r="H551" t="s">
        <v>39</v>
      </c>
      <c r="I551" t="s">
        <v>906</v>
      </c>
      <c r="J551" t="s">
        <v>902</v>
      </c>
      <c r="K551" t="s">
        <v>903</v>
      </c>
      <c r="M551" t="s">
        <v>2991</v>
      </c>
      <c r="N551" t="s">
        <v>946</v>
      </c>
      <c r="O551" t="s">
        <v>2607</v>
      </c>
      <c r="P551" t="s">
        <v>22</v>
      </c>
      <c r="Q551" t="s">
        <v>937</v>
      </c>
      <c r="R551" t="s">
        <v>577</v>
      </c>
      <c r="S551">
        <v>29.798999999999999</v>
      </c>
      <c r="T551">
        <v>2</v>
      </c>
      <c r="U551">
        <v>0.45</v>
      </c>
      <c r="V551">
        <v>2.679000000000002</v>
      </c>
      <c r="W551" s="3">
        <v>1.99</v>
      </c>
      <c r="X551" t="s">
        <v>933</v>
      </c>
    </row>
    <row r="552" spans="1:24" x14ac:dyDescent="0.25">
      <c r="A552">
        <v>29129</v>
      </c>
      <c r="B552" t="s">
        <v>2362</v>
      </c>
      <c r="C552" s="1">
        <v>41956</v>
      </c>
      <c r="D552" s="1">
        <v>41960</v>
      </c>
      <c r="E552" t="s">
        <v>19</v>
      </c>
      <c r="F552" t="s">
        <v>1114</v>
      </c>
      <c r="G552" t="s">
        <v>639</v>
      </c>
      <c r="H552" t="s">
        <v>20</v>
      </c>
      <c r="I552" t="s">
        <v>906</v>
      </c>
      <c r="J552" t="s">
        <v>902</v>
      </c>
      <c r="K552" t="s">
        <v>903</v>
      </c>
      <c r="M552" t="s">
        <v>2991</v>
      </c>
      <c r="N552" t="s">
        <v>946</v>
      </c>
      <c r="O552" t="s">
        <v>2493</v>
      </c>
      <c r="P552" t="s">
        <v>22</v>
      </c>
      <c r="Q552" t="s">
        <v>935</v>
      </c>
      <c r="R552" t="s">
        <v>759</v>
      </c>
      <c r="S552">
        <v>29.535</v>
      </c>
      <c r="T552">
        <v>5</v>
      </c>
      <c r="U552">
        <v>0.45</v>
      </c>
      <c r="V552">
        <v>-2.264999999999997</v>
      </c>
      <c r="W552" s="3">
        <v>4.1500000000000004</v>
      </c>
      <c r="X552" t="s">
        <v>931</v>
      </c>
    </row>
    <row r="553" spans="1:24" x14ac:dyDescent="0.25">
      <c r="A553">
        <v>27386</v>
      </c>
      <c r="B553" t="s">
        <v>2268</v>
      </c>
      <c r="C553" s="1">
        <v>41459</v>
      </c>
      <c r="D553" s="1">
        <v>41462</v>
      </c>
      <c r="E553" t="s">
        <v>47</v>
      </c>
      <c r="F553" t="s">
        <v>1128</v>
      </c>
      <c r="G553" t="s">
        <v>834</v>
      </c>
      <c r="H553" t="s">
        <v>20</v>
      </c>
      <c r="I553" t="s">
        <v>921</v>
      </c>
      <c r="J553" t="s">
        <v>902</v>
      </c>
      <c r="K553" t="s">
        <v>903</v>
      </c>
      <c r="M553" t="s">
        <v>2991</v>
      </c>
      <c r="N553" t="s">
        <v>946</v>
      </c>
      <c r="O553" t="s">
        <v>1823</v>
      </c>
      <c r="P553" t="s">
        <v>31</v>
      </c>
      <c r="Q553" t="s">
        <v>945</v>
      </c>
      <c r="R553" t="s">
        <v>270</v>
      </c>
      <c r="S553">
        <v>29.238000000000007</v>
      </c>
      <c r="T553">
        <v>1</v>
      </c>
      <c r="U553">
        <v>0.45</v>
      </c>
      <c r="V553">
        <v>-8.5320000000000036</v>
      </c>
      <c r="W553" s="3">
        <v>6.66</v>
      </c>
      <c r="X553" t="s">
        <v>931</v>
      </c>
    </row>
    <row r="554" spans="1:24" x14ac:dyDescent="0.25">
      <c r="A554">
        <v>23700</v>
      </c>
      <c r="B554" t="s">
        <v>2042</v>
      </c>
      <c r="C554" s="1">
        <v>42691</v>
      </c>
      <c r="D554" s="1">
        <v>42695</v>
      </c>
      <c r="E554" t="s">
        <v>19</v>
      </c>
      <c r="F554" t="s">
        <v>1507</v>
      </c>
      <c r="G554" t="s">
        <v>81</v>
      </c>
      <c r="H554" t="s">
        <v>20</v>
      </c>
      <c r="I554" t="s">
        <v>906</v>
      </c>
      <c r="J554" t="s">
        <v>902</v>
      </c>
      <c r="K554" t="s">
        <v>903</v>
      </c>
      <c r="M554" t="s">
        <v>2991</v>
      </c>
      <c r="N554" t="s">
        <v>946</v>
      </c>
      <c r="O554" t="s">
        <v>2821</v>
      </c>
      <c r="P554" t="s">
        <v>22</v>
      </c>
      <c r="Q554" t="s">
        <v>69</v>
      </c>
      <c r="R554" t="s">
        <v>86</v>
      </c>
      <c r="S554">
        <v>29.155500000000007</v>
      </c>
      <c r="T554">
        <v>3</v>
      </c>
      <c r="U554">
        <v>0.45</v>
      </c>
      <c r="V554">
        <v>-22.3245</v>
      </c>
      <c r="W554" s="3">
        <v>1.61</v>
      </c>
      <c r="X554" t="s">
        <v>931</v>
      </c>
    </row>
    <row r="555" spans="1:24" x14ac:dyDescent="0.25">
      <c r="A555">
        <v>28977</v>
      </c>
      <c r="B555" t="s">
        <v>2352</v>
      </c>
      <c r="C555" s="1">
        <v>41414</v>
      </c>
      <c r="D555" s="1">
        <v>41421</v>
      </c>
      <c r="E555" t="s">
        <v>19</v>
      </c>
      <c r="F555" t="s">
        <v>958</v>
      </c>
      <c r="G555" t="s">
        <v>330</v>
      </c>
      <c r="H555" t="s">
        <v>37</v>
      </c>
      <c r="I555" t="s">
        <v>906</v>
      </c>
      <c r="J555" t="s">
        <v>902</v>
      </c>
      <c r="K555" t="s">
        <v>903</v>
      </c>
      <c r="M555" t="s">
        <v>2991</v>
      </c>
      <c r="N555" t="s">
        <v>946</v>
      </c>
      <c r="O555" t="s">
        <v>2949</v>
      </c>
      <c r="P555" t="s">
        <v>22</v>
      </c>
      <c r="Q555" t="s">
        <v>937</v>
      </c>
      <c r="R555" t="s">
        <v>159</v>
      </c>
      <c r="S555">
        <v>29.106000000000002</v>
      </c>
      <c r="T555">
        <v>4</v>
      </c>
      <c r="U555">
        <v>0.45</v>
      </c>
      <c r="V555">
        <v>-16.494</v>
      </c>
      <c r="W555" s="3">
        <v>3.15</v>
      </c>
      <c r="X555" t="s">
        <v>933</v>
      </c>
    </row>
    <row r="556" spans="1:24" x14ac:dyDescent="0.25">
      <c r="A556">
        <v>20475</v>
      </c>
      <c r="B556" t="s">
        <v>1850</v>
      </c>
      <c r="C556" s="1">
        <v>41956</v>
      </c>
      <c r="D556" s="1">
        <v>41959</v>
      </c>
      <c r="E556" t="s">
        <v>47</v>
      </c>
      <c r="F556" t="s">
        <v>1436</v>
      </c>
      <c r="G556" t="s">
        <v>311</v>
      </c>
      <c r="H556" t="s">
        <v>39</v>
      </c>
      <c r="I556" t="s">
        <v>906</v>
      </c>
      <c r="J556" t="s">
        <v>902</v>
      </c>
      <c r="K556" t="s">
        <v>903</v>
      </c>
      <c r="M556" t="s">
        <v>2991</v>
      </c>
      <c r="N556" t="s">
        <v>946</v>
      </c>
      <c r="O556" t="s">
        <v>2500</v>
      </c>
      <c r="P556" t="s">
        <v>22</v>
      </c>
      <c r="Q556" t="s">
        <v>937</v>
      </c>
      <c r="R556" t="s">
        <v>179</v>
      </c>
      <c r="S556">
        <v>28.809000000000005</v>
      </c>
      <c r="T556">
        <v>3</v>
      </c>
      <c r="U556">
        <v>0.45</v>
      </c>
      <c r="V556">
        <v>-10.521000000000003</v>
      </c>
      <c r="W556" s="3">
        <v>2.0099999999999998</v>
      </c>
      <c r="X556" t="s">
        <v>933</v>
      </c>
    </row>
    <row r="557" spans="1:24" x14ac:dyDescent="0.25">
      <c r="A557">
        <v>21657</v>
      </c>
      <c r="B557" t="s">
        <v>1911</v>
      </c>
      <c r="C557" s="1">
        <v>41846</v>
      </c>
      <c r="D557" s="1">
        <v>41846</v>
      </c>
      <c r="E557" t="s">
        <v>58</v>
      </c>
      <c r="F557" t="s">
        <v>1134</v>
      </c>
      <c r="G557" t="s">
        <v>565</v>
      </c>
      <c r="H557" t="s">
        <v>39</v>
      </c>
      <c r="I557" t="s">
        <v>906</v>
      </c>
      <c r="J557" t="s">
        <v>902</v>
      </c>
      <c r="K557" t="s">
        <v>903</v>
      </c>
      <c r="M557" t="s">
        <v>2991</v>
      </c>
      <c r="N557" t="s">
        <v>946</v>
      </c>
      <c r="O557" t="s">
        <v>2749</v>
      </c>
      <c r="P557" t="s">
        <v>22</v>
      </c>
      <c r="Q557" t="s">
        <v>30</v>
      </c>
      <c r="R557" t="s">
        <v>601</v>
      </c>
      <c r="S557">
        <v>28.611000000000004</v>
      </c>
      <c r="T557">
        <v>3</v>
      </c>
      <c r="U557">
        <v>0.45</v>
      </c>
      <c r="V557">
        <v>-23.408999999999999</v>
      </c>
      <c r="W557" s="3">
        <v>5.05</v>
      </c>
      <c r="X557" t="s">
        <v>933</v>
      </c>
    </row>
    <row r="558" spans="1:24" x14ac:dyDescent="0.25">
      <c r="A558">
        <v>24832</v>
      </c>
      <c r="B558" t="s">
        <v>2101</v>
      </c>
      <c r="C558" s="1">
        <v>42453</v>
      </c>
      <c r="D558" s="1">
        <v>42459</v>
      </c>
      <c r="E558" t="s">
        <v>19</v>
      </c>
      <c r="F558" t="s">
        <v>1370</v>
      </c>
      <c r="G558" t="s">
        <v>319</v>
      </c>
      <c r="H558" t="s">
        <v>39</v>
      </c>
      <c r="I558" t="s">
        <v>918</v>
      </c>
      <c r="J558" t="s">
        <v>911</v>
      </c>
      <c r="K558" t="s">
        <v>903</v>
      </c>
      <c r="M558" t="s">
        <v>2991</v>
      </c>
      <c r="N558" t="s">
        <v>946</v>
      </c>
      <c r="O558" t="s">
        <v>2531</v>
      </c>
      <c r="P558" t="s">
        <v>22</v>
      </c>
      <c r="Q558" t="s">
        <v>937</v>
      </c>
      <c r="R558" t="s">
        <v>787</v>
      </c>
      <c r="S558">
        <v>28.479000000000003</v>
      </c>
      <c r="T558">
        <v>1</v>
      </c>
      <c r="U558">
        <v>0.45</v>
      </c>
      <c r="V558">
        <v>-17.631</v>
      </c>
      <c r="W558" s="3">
        <v>1.97</v>
      </c>
      <c r="X558" t="s">
        <v>933</v>
      </c>
    </row>
    <row r="559" spans="1:24" x14ac:dyDescent="0.25">
      <c r="A559">
        <v>21451</v>
      </c>
      <c r="B559" t="s">
        <v>1902</v>
      </c>
      <c r="C559" s="1">
        <v>41951</v>
      </c>
      <c r="D559" s="1">
        <v>41956</v>
      </c>
      <c r="E559" t="s">
        <v>19</v>
      </c>
      <c r="F559" t="s">
        <v>1248</v>
      </c>
      <c r="G559" t="s">
        <v>527</v>
      </c>
      <c r="H559" t="s">
        <v>39</v>
      </c>
      <c r="I559" t="s">
        <v>901</v>
      </c>
      <c r="J559" t="s">
        <v>902</v>
      </c>
      <c r="K559" t="s">
        <v>903</v>
      </c>
      <c r="M559" t="s">
        <v>2991</v>
      </c>
      <c r="N559" t="s">
        <v>946</v>
      </c>
      <c r="O559" t="s">
        <v>1532</v>
      </c>
      <c r="P559" t="s">
        <v>22</v>
      </c>
      <c r="Q559" t="s">
        <v>942</v>
      </c>
      <c r="R559" t="s">
        <v>450</v>
      </c>
      <c r="S559">
        <v>28.432499999999997</v>
      </c>
      <c r="T559">
        <v>5</v>
      </c>
      <c r="U559">
        <v>0.15000000000000002</v>
      </c>
      <c r="V559">
        <v>1.2824999999999998</v>
      </c>
      <c r="W559" s="3">
        <v>1.35</v>
      </c>
      <c r="X559" t="s">
        <v>933</v>
      </c>
    </row>
    <row r="560" spans="1:24" x14ac:dyDescent="0.25">
      <c r="A560">
        <v>28727</v>
      </c>
      <c r="B560" t="s">
        <v>2339</v>
      </c>
      <c r="C560" s="1">
        <v>42652</v>
      </c>
      <c r="D560" s="1">
        <v>42657</v>
      </c>
      <c r="E560" t="s">
        <v>19</v>
      </c>
      <c r="F560" t="s">
        <v>1084</v>
      </c>
      <c r="G560" t="s">
        <v>368</v>
      </c>
      <c r="H560" t="s">
        <v>20</v>
      </c>
      <c r="I560" t="s">
        <v>906</v>
      </c>
      <c r="J560" t="s">
        <v>902</v>
      </c>
      <c r="K560" t="s">
        <v>903</v>
      </c>
      <c r="M560" t="s">
        <v>2991</v>
      </c>
      <c r="N560" t="s">
        <v>946</v>
      </c>
      <c r="O560" t="s">
        <v>1526</v>
      </c>
      <c r="P560" t="s">
        <v>22</v>
      </c>
      <c r="Q560" t="s">
        <v>69</v>
      </c>
      <c r="R560" t="s">
        <v>885</v>
      </c>
      <c r="S560">
        <v>28.182000000000006</v>
      </c>
      <c r="T560">
        <v>1</v>
      </c>
      <c r="U560">
        <v>0.45</v>
      </c>
      <c r="V560">
        <v>1.5119999999999969</v>
      </c>
      <c r="W560" s="3">
        <v>2.6</v>
      </c>
      <c r="X560" t="s">
        <v>933</v>
      </c>
    </row>
    <row r="561" spans="1:24" x14ac:dyDescent="0.25">
      <c r="A561">
        <v>20927</v>
      </c>
      <c r="B561" t="s">
        <v>1875</v>
      </c>
      <c r="C561" s="1">
        <v>42640</v>
      </c>
      <c r="D561" s="1">
        <v>42647</v>
      </c>
      <c r="E561" t="s">
        <v>19</v>
      </c>
      <c r="F561" t="s">
        <v>1355</v>
      </c>
      <c r="G561" t="s">
        <v>877</v>
      </c>
      <c r="H561" t="s">
        <v>39</v>
      </c>
      <c r="I561" t="s">
        <v>906</v>
      </c>
      <c r="J561" t="s">
        <v>902</v>
      </c>
      <c r="K561" t="s">
        <v>903</v>
      </c>
      <c r="M561" t="s">
        <v>2991</v>
      </c>
      <c r="N561" t="s">
        <v>946</v>
      </c>
      <c r="O561" t="s">
        <v>2626</v>
      </c>
      <c r="P561" t="s">
        <v>27</v>
      </c>
      <c r="Q561" t="s">
        <v>936</v>
      </c>
      <c r="R561" t="s">
        <v>167</v>
      </c>
      <c r="S561">
        <v>28.034999999999997</v>
      </c>
      <c r="T561">
        <v>2</v>
      </c>
      <c r="U561">
        <v>0.25</v>
      </c>
      <c r="V561">
        <v>5.1750000000000007</v>
      </c>
      <c r="W561" s="3">
        <v>0.67</v>
      </c>
      <c r="X561" t="s">
        <v>933</v>
      </c>
    </row>
    <row r="562" spans="1:24" x14ac:dyDescent="0.25">
      <c r="A562">
        <v>21124</v>
      </c>
      <c r="B562" t="s">
        <v>1883</v>
      </c>
      <c r="C562" s="1">
        <v>42714</v>
      </c>
      <c r="D562" s="1">
        <v>42718</v>
      </c>
      <c r="E562" t="s">
        <v>43</v>
      </c>
      <c r="F562" t="s">
        <v>1099</v>
      </c>
      <c r="G562" t="s">
        <v>89</v>
      </c>
      <c r="H562" t="s">
        <v>37</v>
      </c>
      <c r="I562" t="s">
        <v>906</v>
      </c>
      <c r="J562" t="s">
        <v>902</v>
      </c>
      <c r="K562" t="s">
        <v>903</v>
      </c>
      <c r="M562" t="s">
        <v>2991</v>
      </c>
      <c r="N562" t="s">
        <v>946</v>
      </c>
      <c r="O562" t="s">
        <v>2673</v>
      </c>
      <c r="P562" t="s">
        <v>22</v>
      </c>
      <c r="Q562" t="s">
        <v>937</v>
      </c>
      <c r="R562" t="s">
        <v>643</v>
      </c>
      <c r="S562">
        <v>27.901500000000006</v>
      </c>
      <c r="T562">
        <v>1</v>
      </c>
      <c r="U562">
        <v>0.45</v>
      </c>
      <c r="V562">
        <v>-9.6585000000000036</v>
      </c>
      <c r="W562" s="3">
        <v>3.44</v>
      </c>
      <c r="X562" t="s">
        <v>931</v>
      </c>
    </row>
    <row r="563" spans="1:24" x14ac:dyDescent="0.25">
      <c r="A563">
        <v>29777</v>
      </c>
      <c r="B563" t="s">
        <v>2395</v>
      </c>
      <c r="C563" s="1">
        <v>42610</v>
      </c>
      <c r="D563" s="1">
        <v>42614</v>
      </c>
      <c r="E563" t="s">
        <v>19</v>
      </c>
      <c r="F563" t="s">
        <v>955</v>
      </c>
      <c r="G563" t="s">
        <v>494</v>
      </c>
      <c r="H563" t="s">
        <v>20</v>
      </c>
      <c r="I563" t="s">
        <v>910</v>
      </c>
      <c r="J563" t="s">
        <v>902</v>
      </c>
      <c r="K563" t="s">
        <v>903</v>
      </c>
      <c r="M563" t="s">
        <v>2991</v>
      </c>
      <c r="N563" t="s">
        <v>946</v>
      </c>
      <c r="O563" t="s">
        <v>2959</v>
      </c>
      <c r="P563" t="s">
        <v>22</v>
      </c>
      <c r="Q563" t="s">
        <v>30</v>
      </c>
      <c r="R563" t="s">
        <v>402</v>
      </c>
      <c r="S563">
        <v>27.819000000000003</v>
      </c>
      <c r="T563">
        <v>2</v>
      </c>
      <c r="U563">
        <v>0.45</v>
      </c>
      <c r="V563">
        <v>-7.1009999999999991</v>
      </c>
      <c r="W563" s="3">
        <v>2.66</v>
      </c>
      <c r="X563" t="s">
        <v>931</v>
      </c>
    </row>
    <row r="564" spans="1:24" x14ac:dyDescent="0.25">
      <c r="A564">
        <v>21439</v>
      </c>
      <c r="B564" t="s">
        <v>1899</v>
      </c>
      <c r="C564" s="1">
        <v>41281</v>
      </c>
      <c r="D564" s="1">
        <v>41285</v>
      </c>
      <c r="E564" t="s">
        <v>19</v>
      </c>
      <c r="F564" t="s">
        <v>1094</v>
      </c>
      <c r="G564" t="s">
        <v>372</v>
      </c>
      <c r="H564" t="s">
        <v>20</v>
      </c>
      <c r="I564" t="s">
        <v>906</v>
      </c>
      <c r="J564" t="s">
        <v>902</v>
      </c>
      <c r="K564" t="s">
        <v>903</v>
      </c>
      <c r="M564" t="s">
        <v>2991</v>
      </c>
      <c r="N564" t="s">
        <v>946</v>
      </c>
      <c r="O564" t="s">
        <v>2602</v>
      </c>
      <c r="P564" t="s">
        <v>22</v>
      </c>
      <c r="Q564" t="s">
        <v>937</v>
      </c>
      <c r="R564" t="s">
        <v>579</v>
      </c>
      <c r="S564">
        <v>27.456000000000003</v>
      </c>
      <c r="T564">
        <v>1</v>
      </c>
      <c r="U564">
        <v>0.45</v>
      </c>
      <c r="V564">
        <v>-4.4940000000000033</v>
      </c>
      <c r="W564" s="3">
        <v>3.21</v>
      </c>
      <c r="X564" t="s">
        <v>931</v>
      </c>
    </row>
    <row r="565" spans="1:24" x14ac:dyDescent="0.25">
      <c r="A565">
        <v>21284</v>
      </c>
      <c r="B565" t="s">
        <v>1893</v>
      </c>
      <c r="C565" s="1">
        <v>42540</v>
      </c>
      <c r="D565" s="1">
        <v>42543</v>
      </c>
      <c r="E565" t="s">
        <v>47</v>
      </c>
      <c r="F565" t="s">
        <v>1274</v>
      </c>
      <c r="G565" t="s">
        <v>696</v>
      </c>
      <c r="H565" t="s">
        <v>20</v>
      </c>
      <c r="I565" t="s">
        <v>906</v>
      </c>
      <c r="J565" t="s">
        <v>902</v>
      </c>
      <c r="K565" t="s">
        <v>903</v>
      </c>
      <c r="M565" t="s">
        <v>2991</v>
      </c>
      <c r="N565" t="s">
        <v>946</v>
      </c>
      <c r="O565" t="s">
        <v>2701</v>
      </c>
      <c r="P565" t="s">
        <v>22</v>
      </c>
      <c r="Q565" t="s">
        <v>942</v>
      </c>
      <c r="R565" t="s">
        <v>135</v>
      </c>
      <c r="S565">
        <v>27.412499999999994</v>
      </c>
      <c r="T565">
        <v>5</v>
      </c>
      <c r="U565">
        <v>0.15000000000000002</v>
      </c>
      <c r="V565">
        <v>-1.3875000000000002</v>
      </c>
      <c r="W565" s="3">
        <v>6.97</v>
      </c>
      <c r="X565" t="s">
        <v>933</v>
      </c>
    </row>
    <row r="566" spans="1:24" x14ac:dyDescent="0.25">
      <c r="A566">
        <v>20932</v>
      </c>
      <c r="B566" t="s">
        <v>1875</v>
      </c>
      <c r="C566" s="1">
        <v>42640</v>
      </c>
      <c r="D566" s="1">
        <v>42647</v>
      </c>
      <c r="E566" t="s">
        <v>19</v>
      </c>
      <c r="F566" t="s">
        <v>1355</v>
      </c>
      <c r="G566" t="s">
        <v>877</v>
      </c>
      <c r="H566" t="s">
        <v>39</v>
      </c>
      <c r="I566" t="s">
        <v>906</v>
      </c>
      <c r="J566" t="s">
        <v>902</v>
      </c>
      <c r="K566" t="s">
        <v>903</v>
      </c>
      <c r="M566" t="s">
        <v>2991</v>
      </c>
      <c r="N566" t="s">
        <v>946</v>
      </c>
      <c r="O566" t="s">
        <v>2630</v>
      </c>
      <c r="P566" t="s">
        <v>22</v>
      </c>
      <c r="Q566" t="s">
        <v>937</v>
      </c>
      <c r="R566" t="s">
        <v>843</v>
      </c>
      <c r="S566">
        <v>27.3735</v>
      </c>
      <c r="T566">
        <v>3</v>
      </c>
      <c r="U566">
        <v>0.45</v>
      </c>
      <c r="V566">
        <v>-19.426499999999997</v>
      </c>
      <c r="W566" s="3">
        <v>1.72</v>
      </c>
      <c r="X566" t="s">
        <v>933</v>
      </c>
    </row>
    <row r="567" spans="1:24" x14ac:dyDescent="0.25">
      <c r="A567">
        <v>25196</v>
      </c>
      <c r="B567" t="s">
        <v>2118</v>
      </c>
      <c r="C567" s="1">
        <v>42418</v>
      </c>
      <c r="D567" s="1">
        <v>42420</v>
      </c>
      <c r="E567" t="s">
        <v>47</v>
      </c>
      <c r="F567" t="s">
        <v>1115</v>
      </c>
      <c r="G567" t="s">
        <v>553</v>
      </c>
      <c r="H567" t="s">
        <v>20</v>
      </c>
      <c r="I567" t="s">
        <v>922</v>
      </c>
      <c r="J567" t="s">
        <v>923</v>
      </c>
      <c r="K567" t="s">
        <v>903</v>
      </c>
      <c r="M567" t="s">
        <v>2991</v>
      </c>
      <c r="N567" t="s">
        <v>946</v>
      </c>
      <c r="O567" t="s">
        <v>2481</v>
      </c>
      <c r="P567" t="s">
        <v>22</v>
      </c>
      <c r="Q567" t="s">
        <v>935</v>
      </c>
      <c r="R567" t="s">
        <v>284</v>
      </c>
      <c r="S567">
        <v>27.274500000000003</v>
      </c>
      <c r="T567">
        <v>3</v>
      </c>
      <c r="U567">
        <v>0.45</v>
      </c>
      <c r="V567">
        <v>-5.035499999999999</v>
      </c>
      <c r="W567" s="3">
        <v>5.96</v>
      </c>
      <c r="X567" t="s">
        <v>931</v>
      </c>
    </row>
    <row r="568" spans="1:24" x14ac:dyDescent="0.25">
      <c r="A568">
        <v>26256</v>
      </c>
      <c r="B568" t="s">
        <v>2187</v>
      </c>
      <c r="C568" s="1">
        <v>42614</v>
      </c>
      <c r="D568" s="1">
        <v>42618</v>
      </c>
      <c r="E568" t="s">
        <v>19</v>
      </c>
      <c r="F568" t="s">
        <v>1055</v>
      </c>
      <c r="G568" t="s">
        <v>133</v>
      </c>
      <c r="H568" t="s">
        <v>20</v>
      </c>
      <c r="I568" t="s">
        <v>906</v>
      </c>
      <c r="J568" t="s">
        <v>902</v>
      </c>
      <c r="K568" t="s">
        <v>903</v>
      </c>
      <c r="M568" t="s">
        <v>2991</v>
      </c>
      <c r="N568" t="s">
        <v>946</v>
      </c>
      <c r="O568" t="s">
        <v>2490</v>
      </c>
      <c r="P568" t="s">
        <v>22</v>
      </c>
      <c r="Q568" t="s">
        <v>937</v>
      </c>
      <c r="R568" t="s">
        <v>876</v>
      </c>
      <c r="S568">
        <v>27.258000000000003</v>
      </c>
      <c r="T568">
        <v>2</v>
      </c>
      <c r="U568">
        <v>0.45</v>
      </c>
      <c r="V568">
        <v>-8.4420000000000037</v>
      </c>
      <c r="W568" s="3">
        <v>2.33</v>
      </c>
      <c r="X568" t="s">
        <v>933</v>
      </c>
    </row>
    <row r="569" spans="1:24" x14ac:dyDescent="0.25">
      <c r="A569">
        <v>20464</v>
      </c>
      <c r="B569" t="s">
        <v>1849</v>
      </c>
      <c r="C569" s="1">
        <v>42727</v>
      </c>
      <c r="D569" s="1">
        <v>42729</v>
      </c>
      <c r="E569" t="s">
        <v>43</v>
      </c>
      <c r="F569" t="s">
        <v>1070</v>
      </c>
      <c r="G569" t="s">
        <v>401</v>
      </c>
      <c r="H569" t="s">
        <v>20</v>
      </c>
      <c r="I569" t="s">
        <v>906</v>
      </c>
      <c r="J569" t="s">
        <v>902</v>
      </c>
      <c r="K569" t="s">
        <v>903</v>
      </c>
      <c r="M569" t="s">
        <v>2991</v>
      </c>
      <c r="N569" t="s">
        <v>946</v>
      </c>
      <c r="O569" t="s">
        <v>2508</v>
      </c>
      <c r="P569" t="s">
        <v>22</v>
      </c>
      <c r="Q569" t="s">
        <v>937</v>
      </c>
      <c r="R569" t="s">
        <v>884</v>
      </c>
      <c r="S569">
        <v>27.225000000000001</v>
      </c>
      <c r="T569">
        <v>1</v>
      </c>
      <c r="U569">
        <v>0.45</v>
      </c>
      <c r="V569">
        <v>-15.345000000000002</v>
      </c>
      <c r="W569" s="3">
        <v>0.76</v>
      </c>
      <c r="X569" t="s">
        <v>933</v>
      </c>
    </row>
    <row r="570" spans="1:24" x14ac:dyDescent="0.25">
      <c r="A570">
        <v>22014</v>
      </c>
      <c r="B570" t="s">
        <v>1931</v>
      </c>
      <c r="C570" s="1">
        <v>42295</v>
      </c>
      <c r="D570" s="1">
        <v>42300</v>
      </c>
      <c r="E570" t="s">
        <v>43</v>
      </c>
      <c r="F570" t="s">
        <v>1055</v>
      </c>
      <c r="G570" t="s">
        <v>133</v>
      </c>
      <c r="H570" t="s">
        <v>20</v>
      </c>
      <c r="I570" t="s">
        <v>916</v>
      </c>
      <c r="J570" t="s">
        <v>911</v>
      </c>
      <c r="K570" t="s">
        <v>903</v>
      </c>
      <c r="M570" t="s">
        <v>2991</v>
      </c>
      <c r="N570" t="s">
        <v>946</v>
      </c>
      <c r="O570" t="s">
        <v>2793</v>
      </c>
      <c r="P570" t="s">
        <v>22</v>
      </c>
      <c r="Q570" t="s">
        <v>935</v>
      </c>
      <c r="R570" t="s">
        <v>211</v>
      </c>
      <c r="S570">
        <v>26.928000000000004</v>
      </c>
      <c r="T570">
        <v>1</v>
      </c>
      <c r="U570">
        <v>0.45</v>
      </c>
      <c r="V570">
        <v>-14.202</v>
      </c>
      <c r="W570" s="3">
        <v>3.4</v>
      </c>
      <c r="X570" t="s">
        <v>933</v>
      </c>
    </row>
    <row r="571" spans="1:24" x14ac:dyDescent="0.25">
      <c r="A571">
        <v>22264</v>
      </c>
      <c r="B571" t="s">
        <v>1947</v>
      </c>
      <c r="C571" s="1">
        <v>42132</v>
      </c>
      <c r="D571" s="1">
        <v>42134</v>
      </c>
      <c r="E571" t="s">
        <v>47</v>
      </c>
      <c r="F571" t="s">
        <v>1316</v>
      </c>
      <c r="G571" t="s">
        <v>528</v>
      </c>
      <c r="H571" t="s">
        <v>20</v>
      </c>
      <c r="I571" t="s">
        <v>906</v>
      </c>
      <c r="J571" t="s">
        <v>902</v>
      </c>
      <c r="K571" t="s">
        <v>903</v>
      </c>
      <c r="M571" t="s">
        <v>2991</v>
      </c>
      <c r="N571" t="s">
        <v>946</v>
      </c>
      <c r="O571" t="s">
        <v>2815</v>
      </c>
      <c r="P571" t="s">
        <v>22</v>
      </c>
      <c r="Q571" t="s">
        <v>940</v>
      </c>
      <c r="R571" t="s">
        <v>177</v>
      </c>
      <c r="S571">
        <v>26.581499999999998</v>
      </c>
      <c r="T571">
        <v>3</v>
      </c>
      <c r="U571">
        <v>0.45</v>
      </c>
      <c r="V571">
        <v>-16.438499999999998</v>
      </c>
      <c r="W571" s="3">
        <v>6.66</v>
      </c>
      <c r="X571" t="s">
        <v>932</v>
      </c>
    </row>
    <row r="572" spans="1:24" x14ac:dyDescent="0.25">
      <c r="A572">
        <v>22705</v>
      </c>
      <c r="B572" t="s">
        <v>1980</v>
      </c>
      <c r="C572" s="1">
        <v>42391</v>
      </c>
      <c r="D572" s="1">
        <v>42396</v>
      </c>
      <c r="E572" t="s">
        <v>19</v>
      </c>
      <c r="F572" t="s">
        <v>1086</v>
      </c>
      <c r="G572" t="s">
        <v>125</v>
      </c>
      <c r="H572" t="s">
        <v>20</v>
      </c>
      <c r="I572" t="s">
        <v>906</v>
      </c>
      <c r="J572" t="s">
        <v>902</v>
      </c>
      <c r="K572" t="s">
        <v>903</v>
      </c>
      <c r="M572" t="s">
        <v>2991</v>
      </c>
      <c r="N572" t="s">
        <v>946</v>
      </c>
      <c r="O572" t="s">
        <v>2860</v>
      </c>
      <c r="P572" t="s">
        <v>22</v>
      </c>
      <c r="Q572" t="s">
        <v>941</v>
      </c>
      <c r="R572" t="s">
        <v>164</v>
      </c>
      <c r="S572">
        <v>26.581499999999998</v>
      </c>
      <c r="T572">
        <v>3</v>
      </c>
      <c r="U572">
        <v>0.45</v>
      </c>
      <c r="V572">
        <v>-14.548499999999999</v>
      </c>
      <c r="W572" s="3">
        <v>1.98</v>
      </c>
      <c r="X572" t="s">
        <v>933</v>
      </c>
    </row>
    <row r="573" spans="1:24" x14ac:dyDescent="0.25">
      <c r="A573">
        <v>23585</v>
      </c>
      <c r="B573" t="s">
        <v>2037</v>
      </c>
      <c r="C573" s="1">
        <v>41389</v>
      </c>
      <c r="D573" s="1">
        <v>41395</v>
      </c>
      <c r="E573" t="s">
        <v>19</v>
      </c>
      <c r="F573" t="s">
        <v>1179</v>
      </c>
      <c r="G573" t="s">
        <v>777</v>
      </c>
      <c r="H573" t="s">
        <v>20</v>
      </c>
      <c r="I573" t="s">
        <v>916</v>
      </c>
      <c r="J573" t="s">
        <v>911</v>
      </c>
      <c r="K573" t="s">
        <v>903</v>
      </c>
      <c r="M573" t="s">
        <v>2991</v>
      </c>
      <c r="N573" t="s">
        <v>946</v>
      </c>
      <c r="O573" t="s">
        <v>1533</v>
      </c>
      <c r="P573" t="s">
        <v>22</v>
      </c>
      <c r="Q573" t="s">
        <v>935</v>
      </c>
      <c r="R573" t="s">
        <v>536</v>
      </c>
      <c r="S573">
        <v>26.400000000000002</v>
      </c>
      <c r="T573">
        <v>1</v>
      </c>
      <c r="U573">
        <v>0.45</v>
      </c>
      <c r="V573">
        <v>-18.240000000000002</v>
      </c>
      <c r="W573" s="3">
        <v>1.62</v>
      </c>
      <c r="X573" t="s">
        <v>933</v>
      </c>
    </row>
    <row r="574" spans="1:24" x14ac:dyDescent="0.25">
      <c r="A574">
        <v>21148</v>
      </c>
      <c r="B574" t="s">
        <v>1885</v>
      </c>
      <c r="C574" s="1">
        <v>41918</v>
      </c>
      <c r="D574" s="1">
        <v>41923</v>
      </c>
      <c r="E574" t="s">
        <v>19</v>
      </c>
      <c r="F574" t="s">
        <v>1154</v>
      </c>
      <c r="G574" t="s">
        <v>155</v>
      </c>
      <c r="H574" t="s">
        <v>37</v>
      </c>
      <c r="I574" t="s">
        <v>901</v>
      </c>
      <c r="J574" t="s">
        <v>902</v>
      </c>
      <c r="K574" t="s">
        <v>903</v>
      </c>
      <c r="M574" t="s">
        <v>2991</v>
      </c>
      <c r="N574" t="s">
        <v>946</v>
      </c>
      <c r="O574" t="s">
        <v>2466</v>
      </c>
      <c r="P574" t="s">
        <v>22</v>
      </c>
      <c r="Q574" t="s">
        <v>69</v>
      </c>
      <c r="R574" t="s">
        <v>724</v>
      </c>
      <c r="S574">
        <v>26.169</v>
      </c>
      <c r="T574">
        <v>2</v>
      </c>
      <c r="U574">
        <v>0.45</v>
      </c>
      <c r="V574">
        <v>-6.2310000000000016</v>
      </c>
      <c r="W574" s="3">
        <v>2.17</v>
      </c>
      <c r="X574" t="s">
        <v>931</v>
      </c>
    </row>
    <row r="575" spans="1:24" x14ac:dyDescent="0.25">
      <c r="A575">
        <v>26265</v>
      </c>
      <c r="B575" t="s">
        <v>2188</v>
      </c>
      <c r="C575" s="1">
        <v>42455</v>
      </c>
      <c r="D575" s="1">
        <v>42455</v>
      </c>
      <c r="E575" t="s">
        <v>58</v>
      </c>
      <c r="F575" t="s">
        <v>1209</v>
      </c>
      <c r="G575" t="s">
        <v>281</v>
      </c>
      <c r="H575" t="s">
        <v>20</v>
      </c>
      <c r="I575" t="s">
        <v>906</v>
      </c>
      <c r="J575" t="s">
        <v>902</v>
      </c>
      <c r="K575" t="s">
        <v>903</v>
      </c>
      <c r="M575" t="s">
        <v>2991</v>
      </c>
      <c r="N575" t="s">
        <v>946</v>
      </c>
      <c r="O575" t="s">
        <v>2545</v>
      </c>
      <c r="P575" t="s">
        <v>22</v>
      </c>
      <c r="Q575" t="s">
        <v>940</v>
      </c>
      <c r="R575" t="s">
        <v>797</v>
      </c>
      <c r="S575">
        <v>26.135999999999999</v>
      </c>
      <c r="T575">
        <v>2</v>
      </c>
      <c r="U575">
        <v>0.45</v>
      </c>
      <c r="V575">
        <v>2.3759999999999977</v>
      </c>
      <c r="W575" s="3">
        <v>3.65</v>
      </c>
      <c r="X575" t="s">
        <v>931</v>
      </c>
    </row>
    <row r="576" spans="1:24" x14ac:dyDescent="0.25">
      <c r="A576">
        <v>26310</v>
      </c>
      <c r="B576" t="s">
        <v>2194</v>
      </c>
      <c r="C576" s="1">
        <v>42348</v>
      </c>
      <c r="D576" s="1">
        <v>42353</v>
      </c>
      <c r="E576" t="s">
        <v>19</v>
      </c>
      <c r="F576" t="s">
        <v>1268</v>
      </c>
      <c r="G576" t="s">
        <v>314</v>
      </c>
      <c r="H576" t="s">
        <v>20</v>
      </c>
      <c r="I576" t="s">
        <v>906</v>
      </c>
      <c r="J576" t="s">
        <v>902</v>
      </c>
      <c r="K576" t="s">
        <v>903</v>
      </c>
      <c r="M576" t="s">
        <v>2991</v>
      </c>
      <c r="N576" t="s">
        <v>946</v>
      </c>
      <c r="O576" t="s">
        <v>2794</v>
      </c>
      <c r="P576" t="s">
        <v>22</v>
      </c>
      <c r="Q576" t="s">
        <v>937</v>
      </c>
      <c r="R576" t="s">
        <v>267</v>
      </c>
      <c r="S576">
        <v>25.872</v>
      </c>
      <c r="T576">
        <v>2</v>
      </c>
      <c r="U576">
        <v>0.45</v>
      </c>
      <c r="V576">
        <v>-3.7680000000000007</v>
      </c>
      <c r="W576" s="3">
        <v>0.83</v>
      </c>
      <c r="X576" t="s">
        <v>933</v>
      </c>
    </row>
    <row r="577" spans="1:24" x14ac:dyDescent="0.25">
      <c r="A577">
        <v>22450</v>
      </c>
      <c r="B577" t="s">
        <v>1960</v>
      </c>
      <c r="C577" s="1">
        <v>42131</v>
      </c>
      <c r="D577" s="1">
        <v>42133</v>
      </c>
      <c r="E577" t="s">
        <v>47</v>
      </c>
      <c r="F577" t="s">
        <v>1150</v>
      </c>
      <c r="G577" t="s">
        <v>662</v>
      </c>
      <c r="H577" t="s">
        <v>20</v>
      </c>
      <c r="I577" t="s">
        <v>916</v>
      </c>
      <c r="J577" t="s">
        <v>911</v>
      </c>
      <c r="K577" t="s">
        <v>903</v>
      </c>
      <c r="M577" t="s">
        <v>2991</v>
      </c>
      <c r="N577" t="s">
        <v>946</v>
      </c>
      <c r="O577" t="s">
        <v>2551</v>
      </c>
      <c r="P577" t="s">
        <v>22</v>
      </c>
      <c r="Q577" t="s">
        <v>942</v>
      </c>
      <c r="R577" t="s">
        <v>189</v>
      </c>
      <c r="S577">
        <v>25.704000000000001</v>
      </c>
      <c r="T577">
        <v>3</v>
      </c>
      <c r="U577">
        <v>0.15000000000000002</v>
      </c>
      <c r="V577">
        <v>5.7239999999999993</v>
      </c>
      <c r="W577" s="3">
        <v>4.92</v>
      </c>
      <c r="X577" t="s">
        <v>932</v>
      </c>
    </row>
    <row r="578" spans="1:24" x14ac:dyDescent="0.25">
      <c r="A578">
        <v>22028</v>
      </c>
      <c r="B578" t="s">
        <v>1932</v>
      </c>
      <c r="C578" s="1">
        <v>41365</v>
      </c>
      <c r="D578" s="1">
        <v>41369</v>
      </c>
      <c r="E578" t="s">
        <v>19</v>
      </c>
      <c r="F578" t="s">
        <v>974</v>
      </c>
      <c r="G578" t="s">
        <v>501</v>
      </c>
      <c r="H578" t="s">
        <v>37</v>
      </c>
      <c r="I578" t="s">
        <v>906</v>
      </c>
      <c r="J578" t="s">
        <v>902</v>
      </c>
      <c r="K578" t="s">
        <v>903</v>
      </c>
      <c r="M578" t="s">
        <v>2991</v>
      </c>
      <c r="N578" t="s">
        <v>946</v>
      </c>
      <c r="O578" t="s">
        <v>2682</v>
      </c>
      <c r="P578" t="s">
        <v>22</v>
      </c>
      <c r="Q578" t="s">
        <v>935</v>
      </c>
      <c r="R578" t="s">
        <v>659</v>
      </c>
      <c r="S578">
        <v>25.344000000000001</v>
      </c>
      <c r="T578">
        <v>2</v>
      </c>
      <c r="U578">
        <v>0.45</v>
      </c>
      <c r="V578">
        <v>-6.0359999999999996</v>
      </c>
      <c r="W578" s="3">
        <v>2.99</v>
      </c>
      <c r="X578" t="s">
        <v>931</v>
      </c>
    </row>
    <row r="579" spans="1:24" x14ac:dyDescent="0.25">
      <c r="A579">
        <v>24436</v>
      </c>
      <c r="B579" t="s">
        <v>2078</v>
      </c>
      <c r="C579" s="1">
        <v>42417</v>
      </c>
      <c r="D579" s="1">
        <v>42418</v>
      </c>
      <c r="E579" t="s">
        <v>47</v>
      </c>
      <c r="F579" t="s">
        <v>1021</v>
      </c>
      <c r="G579" t="s">
        <v>555</v>
      </c>
      <c r="H579" t="s">
        <v>20</v>
      </c>
      <c r="I579" t="s">
        <v>922</v>
      </c>
      <c r="J579" t="s">
        <v>923</v>
      </c>
      <c r="K579" t="s">
        <v>903</v>
      </c>
      <c r="M579" t="s">
        <v>2991</v>
      </c>
      <c r="N579" t="s">
        <v>946</v>
      </c>
      <c r="O579" t="s">
        <v>2509</v>
      </c>
      <c r="P579" t="s">
        <v>22</v>
      </c>
      <c r="Q579" t="s">
        <v>942</v>
      </c>
      <c r="R579" t="s">
        <v>143</v>
      </c>
      <c r="S579">
        <v>25.066500000000001</v>
      </c>
      <c r="T579">
        <v>1</v>
      </c>
      <c r="U579">
        <v>0.15000000000000002</v>
      </c>
      <c r="V579">
        <v>8.2364999999999995</v>
      </c>
      <c r="W579" s="3">
        <v>0.68</v>
      </c>
      <c r="X579" t="s">
        <v>931</v>
      </c>
    </row>
    <row r="580" spans="1:24" x14ac:dyDescent="0.25">
      <c r="A580">
        <v>20765</v>
      </c>
      <c r="B580" t="s">
        <v>1863</v>
      </c>
      <c r="C580" s="1">
        <v>41490</v>
      </c>
      <c r="D580" s="1">
        <v>41496</v>
      </c>
      <c r="E580" t="s">
        <v>19</v>
      </c>
      <c r="F580" t="s">
        <v>1231</v>
      </c>
      <c r="G580" t="s">
        <v>498</v>
      </c>
      <c r="H580" t="s">
        <v>20</v>
      </c>
      <c r="I580" t="s">
        <v>901</v>
      </c>
      <c r="J580" t="s">
        <v>902</v>
      </c>
      <c r="K580" t="s">
        <v>903</v>
      </c>
      <c r="M580" t="s">
        <v>2991</v>
      </c>
      <c r="N580" t="s">
        <v>946</v>
      </c>
      <c r="O580" t="s">
        <v>2583</v>
      </c>
      <c r="P580" t="s">
        <v>22</v>
      </c>
      <c r="Q580" t="s">
        <v>23</v>
      </c>
      <c r="R580" t="s">
        <v>180</v>
      </c>
      <c r="S580">
        <v>25.014000000000003</v>
      </c>
      <c r="T580">
        <v>4</v>
      </c>
      <c r="U580">
        <v>0.45</v>
      </c>
      <c r="V580">
        <v>2.2139999999999986</v>
      </c>
      <c r="W580" s="3">
        <v>1.64</v>
      </c>
      <c r="X580" t="s">
        <v>933</v>
      </c>
    </row>
    <row r="581" spans="1:24" x14ac:dyDescent="0.25">
      <c r="A581">
        <v>29071</v>
      </c>
      <c r="B581" t="s">
        <v>2357</v>
      </c>
      <c r="C581" s="1">
        <v>41908</v>
      </c>
      <c r="D581" s="1">
        <v>41912</v>
      </c>
      <c r="E581" t="s">
        <v>19</v>
      </c>
      <c r="F581" t="s">
        <v>989</v>
      </c>
      <c r="G581" t="s">
        <v>867</v>
      </c>
      <c r="H581" t="s">
        <v>20</v>
      </c>
      <c r="I581" t="s">
        <v>906</v>
      </c>
      <c r="J581" t="s">
        <v>902</v>
      </c>
      <c r="K581" t="s">
        <v>903</v>
      </c>
      <c r="M581" t="s">
        <v>2991</v>
      </c>
      <c r="N581" t="s">
        <v>946</v>
      </c>
      <c r="O581" t="s">
        <v>2702</v>
      </c>
      <c r="P581" t="s">
        <v>22</v>
      </c>
      <c r="Q581" t="s">
        <v>23</v>
      </c>
      <c r="R581" t="s">
        <v>874</v>
      </c>
      <c r="S581">
        <v>24.948</v>
      </c>
      <c r="T581">
        <v>9</v>
      </c>
      <c r="U581">
        <v>0.45</v>
      </c>
      <c r="V581">
        <v>-18.252000000000002</v>
      </c>
      <c r="W581" s="3">
        <v>1.22</v>
      </c>
      <c r="X581" t="s">
        <v>931</v>
      </c>
    </row>
    <row r="582" spans="1:24" x14ac:dyDescent="0.25">
      <c r="A582">
        <v>26556</v>
      </c>
      <c r="B582" t="s">
        <v>2208</v>
      </c>
      <c r="C582" s="1">
        <v>42093</v>
      </c>
      <c r="D582" s="1">
        <v>42100</v>
      </c>
      <c r="E582" t="s">
        <v>19</v>
      </c>
      <c r="F582" t="s">
        <v>1200</v>
      </c>
      <c r="G582" t="s">
        <v>560</v>
      </c>
      <c r="H582" t="s">
        <v>39</v>
      </c>
      <c r="I582" t="s">
        <v>906</v>
      </c>
      <c r="J582" t="s">
        <v>902</v>
      </c>
      <c r="K582" t="s">
        <v>903</v>
      </c>
      <c r="M582" t="s">
        <v>2991</v>
      </c>
      <c r="N582" t="s">
        <v>946</v>
      </c>
      <c r="O582" t="s">
        <v>2787</v>
      </c>
      <c r="P582" t="s">
        <v>22</v>
      </c>
      <c r="Q582" t="s">
        <v>941</v>
      </c>
      <c r="R582" t="s">
        <v>514</v>
      </c>
      <c r="S582">
        <v>24.799500000000002</v>
      </c>
      <c r="T582">
        <v>3</v>
      </c>
      <c r="U582">
        <v>0.45</v>
      </c>
      <c r="V582">
        <v>0.85950000000000415</v>
      </c>
      <c r="W582" s="3">
        <v>1.95</v>
      </c>
      <c r="X582" t="s">
        <v>933</v>
      </c>
    </row>
    <row r="583" spans="1:24" x14ac:dyDescent="0.25">
      <c r="A583">
        <v>27410</v>
      </c>
      <c r="B583" t="s">
        <v>2271</v>
      </c>
      <c r="C583" s="1">
        <v>41487</v>
      </c>
      <c r="D583" s="1">
        <v>41492</v>
      </c>
      <c r="E583" t="s">
        <v>19</v>
      </c>
      <c r="F583" t="s">
        <v>1202</v>
      </c>
      <c r="G583" t="s">
        <v>470</v>
      </c>
      <c r="H583" t="s">
        <v>20</v>
      </c>
      <c r="I583" t="s">
        <v>906</v>
      </c>
      <c r="J583" t="s">
        <v>902</v>
      </c>
      <c r="K583" t="s">
        <v>903</v>
      </c>
      <c r="M583" t="s">
        <v>2991</v>
      </c>
      <c r="N583" t="s">
        <v>946</v>
      </c>
      <c r="O583" t="s">
        <v>1535</v>
      </c>
      <c r="P583" t="s">
        <v>22</v>
      </c>
      <c r="Q583" t="s">
        <v>69</v>
      </c>
      <c r="R583" t="s">
        <v>848</v>
      </c>
      <c r="S583">
        <v>24.651000000000003</v>
      </c>
      <c r="T583">
        <v>3</v>
      </c>
      <c r="U583">
        <v>0.45</v>
      </c>
      <c r="V583">
        <v>-19.359000000000005</v>
      </c>
      <c r="W583" s="3">
        <v>1.94</v>
      </c>
      <c r="X583" t="s">
        <v>933</v>
      </c>
    </row>
    <row r="584" spans="1:24" x14ac:dyDescent="0.25">
      <c r="A584">
        <v>25338</v>
      </c>
      <c r="B584" t="s">
        <v>2131</v>
      </c>
      <c r="C584" s="1">
        <v>42315</v>
      </c>
      <c r="D584" s="1">
        <v>42319</v>
      </c>
      <c r="E584" t="s">
        <v>19</v>
      </c>
      <c r="F584" t="s">
        <v>1058</v>
      </c>
      <c r="G584" t="s">
        <v>694</v>
      </c>
      <c r="H584" t="s">
        <v>20</v>
      </c>
      <c r="I584" t="s">
        <v>906</v>
      </c>
      <c r="J584" t="s">
        <v>902</v>
      </c>
      <c r="K584" t="s">
        <v>903</v>
      </c>
      <c r="M584" t="s">
        <v>2991</v>
      </c>
      <c r="N584" t="s">
        <v>946</v>
      </c>
      <c r="O584" t="s">
        <v>2645</v>
      </c>
      <c r="P584" t="s">
        <v>22</v>
      </c>
      <c r="Q584" t="s">
        <v>23</v>
      </c>
      <c r="R584" t="s">
        <v>786</v>
      </c>
      <c r="S584">
        <v>24.419999999999998</v>
      </c>
      <c r="T584">
        <v>5</v>
      </c>
      <c r="U584">
        <v>0.45</v>
      </c>
      <c r="V584">
        <v>-10.229999999999997</v>
      </c>
      <c r="W584" s="3">
        <v>3.66</v>
      </c>
      <c r="X584" t="s">
        <v>931</v>
      </c>
    </row>
    <row r="585" spans="1:24" x14ac:dyDescent="0.25">
      <c r="A585">
        <v>24119</v>
      </c>
      <c r="B585" t="s">
        <v>2064</v>
      </c>
      <c r="C585" s="1">
        <v>42700</v>
      </c>
      <c r="D585" s="1">
        <v>42706</v>
      </c>
      <c r="E585" t="s">
        <v>19</v>
      </c>
      <c r="F585" t="s">
        <v>1096</v>
      </c>
      <c r="G585" t="s">
        <v>112</v>
      </c>
      <c r="H585" t="s">
        <v>37</v>
      </c>
      <c r="I585" t="s">
        <v>901</v>
      </c>
      <c r="J585" t="s">
        <v>902</v>
      </c>
      <c r="K585" t="s">
        <v>903</v>
      </c>
      <c r="M585" t="s">
        <v>2991</v>
      </c>
      <c r="N585" t="s">
        <v>946</v>
      </c>
      <c r="O585" t="s">
        <v>2589</v>
      </c>
      <c r="P585" t="s">
        <v>22</v>
      </c>
      <c r="Q585" t="s">
        <v>941</v>
      </c>
      <c r="R585" t="s">
        <v>187</v>
      </c>
      <c r="S585">
        <v>24.354000000000003</v>
      </c>
      <c r="T585">
        <v>4</v>
      </c>
      <c r="U585">
        <v>0.45</v>
      </c>
      <c r="V585">
        <v>-19.566000000000003</v>
      </c>
      <c r="W585" s="3">
        <v>1.81</v>
      </c>
      <c r="X585" t="s">
        <v>933</v>
      </c>
    </row>
    <row r="586" spans="1:24" x14ac:dyDescent="0.25">
      <c r="A586">
        <v>24487</v>
      </c>
      <c r="B586" t="s">
        <v>2082</v>
      </c>
      <c r="C586" s="1">
        <v>41396</v>
      </c>
      <c r="D586" s="1">
        <v>41401</v>
      </c>
      <c r="E586" t="s">
        <v>19</v>
      </c>
      <c r="F586" t="s">
        <v>1174</v>
      </c>
      <c r="G586" t="s">
        <v>390</v>
      </c>
      <c r="H586" t="s">
        <v>37</v>
      </c>
      <c r="I586" t="s">
        <v>901</v>
      </c>
      <c r="J586" t="s">
        <v>902</v>
      </c>
      <c r="K586" t="s">
        <v>903</v>
      </c>
      <c r="M586" t="s">
        <v>2991</v>
      </c>
      <c r="N586" t="s">
        <v>946</v>
      </c>
      <c r="O586" t="s">
        <v>2938</v>
      </c>
      <c r="P586" t="s">
        <v>22</v>
      </c>
      <c r="Q586" t="s">
        <v>941</v>
      </c>
      <c r="R586" t="s">
        <v>347</v>
      </c>
      <c r="S586">
        <v>24.156000000000002</v>
      </c>
      <c r="T586">
        <v>4</v>
      </c>
      <c r="U586">
        <v>0.45</v>
      </c>
      <c r="V586">
        <v>-11.484000000000004</v>
      </c>
      <c r="W586" s="3">
        <v>2.83</v>
      </c>
      <c r="X586" t="s">
        <v>931</v>
      </c>
    </row>
    <row r="587" spans="1:24" x14ac:dyDescent="0.25">
      <c r="A587">
        <v>25135</v>
      </c>
      <c r="B587" t="s">
        <v>2114</v>
      </c>
      <c r="C587" s="1">
        <v>42176</v>
      </c>
      <c r="D587" s="1">
        <v>42177</v>
      </c>
      <c r="E587" t="s">
        <v>47</v>
      </c>
      <c r="F587" t="s">
        <v>1005</v>
      </c>
      <c r="G587" t="s">
        <v>505</v>
      </c>
      <c r="H587" t="s">
        <v>37</v>
      </c>
      <c r="I587" t="s">
        <v>901</v>
      </c>
      <c r="J587" t="s">
        <v>902</v>
      </c>
      <c r="K587" t="s">
        <v>903</v>
      </c>
      <c r="M587" t="s">
        <v>2991</v>
      </c>
      <c r="N587" t="s">
        <v>946</v>
      </c>
      <c r="O587" t="s">
        <v>2451</v>
      </c>
      <c r="P587" t="s">
        <v>22</v>
      </c>
      <c r="Q587" t="s">
        <v>937</v>
      </c>
      <c r="R587" t="s">
        <v>571</v>
      </c>
      <c r="S587">
        <v>23.908500000000004</v>
      </c>
      <c r="T587">
        <v>3</v>
      </c>
      <c r="U587">
        <v>0.45</v>
      </c>
      <c r="V587">
        <v>-15.241500000000002</v>
      </c>
      <c r="W587" s="3">
        <v>4.32</v>
      </c>
      <c r="X587" t="s">
        <v>931</v>
      </c>
    </row>
    <row r="588" spans="1:24" x14ac:dyDescent="0.25">
      <c r="A588">
        <v>23416</v>
      </c>
      <c r="B588" t="s">
        <v>2023</v>
      </c>
      <c r="C588" s="1">
        <v>42414</v>
      </c>
      <c r="D588" s="1">
        <v>42419</v>
      </c>
      <c r="E588" t="s">
        <v>19</v>
      </c>
      <c r="F588" t="s">
        <v>1173</v>
      </c>
      <c r="G588" t="s">
        <v>90</v>
      </c>
      <c r="H588" t="s">
        <v>20</v>
      </c>
      <c r="I588" t="s">
        <v>906</v>
      </c>
      <c r="J588" t="s">
        <v>902</v>
      </c>
      <c r="K588" t="s">
        <v>903</v>
      </c>
      <c r="M588" t="s">
        <v>2991</v>
      </c>
      <c r="N588" t="s">
        <v>946</v>
      </c>
      <c r="O588" t="s">
        <v>2669</v>
      </c>
      <c r="P588" t="s">
        <v>22</v>
      </c>
      <c r="Q588" t="s">
        <v>942</v>
      </c>
      <c r="R588" t="s">
        <v>767</v>
      </c>
      <c r="S588">
        <v>23.817</v>
      </c>
      <c r="T588">
        <v>2</v>
      </c>
      <c r="U588">
        <v>0.15000000000000002</v>
      </c>
      <c r="V588">
        <v>-3.1230000000000002</v>
      </c>
      <c r="W588" s="3">
        <v>2.19</v>
      </c>
      <c r="X588" t="s">
        <v>933</v>
      </c>
    </row>
    <row r="589" spans="1:24" x14ac:dyDescent="0.25">
      <c r="A589">
        <v>27029</v>
      </c>
      <c r="B589" t="s">
        <v>2235</v>
      </c>
      <c r="C589" s="1">
        <v>42376</v>
      </c>
      <c r="D589" s="1">
        <v>42380</v>
      </c>
      <c r="E589" t="s">
        <v>19</v>
      </c>
      <c r="F589" t="s">
        <v>1128</v>
      </c>
      <c r="G589" t="s">
        <v>834</v>
      </c>
      <c r="H589" t="s">
        <v>20</v>
      </c>
      <c r="I589" t="s">
        <v>922</v>
      </c>
      <c r="J589" t="s">
        <v>923</v>
      </c>
      <c r="K589" t="s">
        <v>903</v>
      </c>
      <c r="M589" t="s">
        <v>2991</v>
      </c>
      <c r="N589" t="s">
        <v>946</v>
      </c>
      <c r="O589" t="s">
        <v>2945</v>
      </c>
      <c r="P589" t="s">
        <v>22</v>
      </c>
      <c r="Q589" t="s">
        <v>23</v>
      </c>
      <c r="R589" t="s">
        <v>286</v>
      </c>
      <c r="S589">
        <v>23.760000000000005</v>
      </c>
      <c r="T589">
        <v>5</v>
      </c>
      <c r="U589">
        <v>0.45</v>
      </c>
      <c r="V589">
        <v>-10.440000000000001</v>
      </c>
      <c r="W589" s="3">
        <v>2.84</v>
      </c>
      <c r="X589" t="s">
        <v>933</v>
      </c>
    </row>
    <row r="590" spans="1:24" x14ac:dyDescent="0.25">
      <c r="A590">
        <v>21727</v>
      </c>
      <c r="B590" t="s">
        <v>1914</v>
      </c>
      <c r="C590" s="1">
        <v>42309</v>
      </c>
      <c r="D590" s="1">
        <v>42315</v>
      </c>
      <c r="E590" t="s">
        <v>19</v>
      </c>
      <c r="F590" t="s">
        <v>1100</v>
      </c>
      <c r="G590" t="s">
        <v>799</v>
      </c>
      <c r="H590" t="s">
        <v>39</v>
      </c>
      <c r="I590" t="s">
        <v>906</v>
      </c>
      <c r="J590" t="s">
        <v>902</v>
      </c>
      <c r="K590" t="s">
        <v>903</v>
      </c>
      <c r="M590" t="s">
        <v>2991</v>
      </c>
      <c r="N590" t="s">
        <v>946</v>
      </c>
      <c r="O590" t="s">
        <v>2763</v>
      </c>
      <c r="P590" t="s">
        <v>22</v>
      </c>
      <c r="Q590" t="s">
        <v>942</v>
      </c>
      <c r="R590" t="s">
        <v>507</v>
      </c>
      <c r="S590">
        <v>23.638499999999997</v>
      </c>
      <c r="T590">
        <v>3</v>
      </c>
      <c r="U590">
        <v>0.15000000000000002</v>
      </c>
      <c r="V590">
        <v>2.7584999999999997</v>
      </c>
      <c r="W590" s="3">
        <v>2.56</v>
      </c>
      <c r="X590" t="s">
        <v>934</v>
      </c>
    </row>
    <row r="591" spans="1:24" x14ac:dyDescent="0.25">
      <c r="A591">
        <v>24944</v>
      </c>
      <c r="B591" t="s">
        <v>2104</v>
      </c>
      <c r="C591" s="1">
        <v>42576</v>
      </c>
      <c r="D591" s="1">
        <v>42581</v>
      </c>
      <c r="E591" t="s">
        <v>19</v>
      </c>
      <c r="F591" t="s">
        <v>979</v>
      </c>
      <c r="G591" t="s">
        <v>435</v>
      </c>
      <c r="H591" t="s">
        <v>39</v>
      </c>
      <c r="I591" t="s">
        <v>906</v>
      </c>
      <c r="J591" t="s">
        <v>902</v>
      </c>
      <c r="K591" t="s">
        <v>903</v>
      </c>
      <c r="M591" t="s">
        <v>2991</v>
      </c>
      <c r="N591" t="s">
        <v>946</v>
      </c>
      <c r="O591" t="s">
        <v>2493</v>
      </c>
      <c r="P591" t="s">
        <v>22</v>
      </c>
      <c r="Q591" t="s">
        <v>935</v>
      </c>
      <c r="R591" t="s">
        <v>759</v>
      </c>
      <c r="S591">
        <v>23.628</v>
      </c>
      <c r="T591">
        <v>4</v>
      </c>
      <c r="U591">
        <v>0.45</v>
      </c>
      <c r="V591">
        <v>-1.8119999999999976</v>
      </c>
      <c r="W591" s="3">
        <v>3.15</v>
      </c>
      <c r="X591" t="s">
        <v>931</v>
      </c>
    </row>
    <row r="592" spans="1:24" x14ac:dyDescent="0.25">
      <c r="A592">
        <v>25608</v>
      </c>
      <c r="B592" t="s">
        <v>2148</v>
      </c>
      <c r="C592" s="1">
        <v>41606</v>
      </c>
      <c r="D592" s="1">
        <v>41611</v>
      </c>
      <c r="E592" t="s">
        <v>19</v>
      </c>
      <c r="F592" t="s">
        <v>1347</v>
      </c>
      <c r="G592" t="s">
        <v>100</v>
      </c>
      <c r="H592" t="s">
        <v>20</v>
      </c>
      <c r="I592" t="s">
        <v>924</v>
      </c>
      <c r="J592" t="s">
        <v>911</v>
      </c>
      <c r="K592" t="s">
        <v>903</v>
      </c>
      <c r="M592" t="s">
        <v>2991</v>
      </c>
      <c r="N592" t="s">
        <v>946</v>
      </c>
      <c r="O592" t="s">
        <v>2654</v>
      </c>
      <c r="P592" t="s">
        <v>22</v>
      </c>
      <c r="Q592" t="s">
        <v>30</v>
      </c>
      <c r="R592" t="s">
        <v>359</v>
      </c>
      <c r="S592">
        <v>23.529000000000003</v>
      </c>
      <c r="T592">
        <v>2</v>
      </c>
      <c r="U592">
        <v>0.45</v>
      </c>
      <c r="V592">
        <v>-7.7310000000000016</v>
      </c>
      <c r="W592" s="3">
        <v>0.79</v>
      </c>
      <c r="X592" t="s">
        <v>933</v>
      </c>
    </row>
    <row r="593" spans="1:24" x14ac:dyDescent="0.25">
      <c r="A593">
        <v>23095</v>
      </c>
      <c r="B593" t="s">
        <v>2005</v>
      </c>
      <c r="C593" s="1">
        <v>41363</v>
      </c>
      <c r="D593" s="1">
        <v>41367</v>
      </c>
      <c r="E593" t="s">
        <v>19</v>
      </c>
      <c r="F593" t="s">
        <v>1230</v>
      </c>
      <c r="G593" t="s">
        <v>382</v>
      </c>
      <c r="H593" t="s">
        <v>20</v>
      </c>
      <c r="I593" t="s">
        <v>906</v>
      </c>
      <c r="J593" t="s">
        <v>902</v>
      </c>
      <c r="K593" t="s">
        <v>903</v>
      </c>
      <c r="M593" t="s">
        <v>2991</v>
      </c>
      <c r="N593" t="s">
        <v>946</v>
      </c>
      <c r="O593" t="s">
        <v>2866</v>
      </c>
      <c r="P593" t="s">
        <v>22</v>
      </c>
      <c r="Q593" t="s">
        <v>940</v>
      </c>
      <c r="R593" t="s">
        <v>72</v>
      </c>
      <c r="S593">
        <v>23.512500000000006</v>
      </c>
      <c r="T593">
        <v>1</v>
      </c>
      <c r="U593">
        <v>0.45</v>
      </c>
      <c r="V593">
        <v>-11.137500000000003</v>
      </c>
      <c r="W593" s="3">
        <v>1.8</v>
      </c>
      <c r="X593" t="s">
        <v>933</v>
      </c>
    </row>
    <row r="594" spans="1:24" x14ac:dyDescent="0.25">
      <c r="A594">
        <v>22552</v>
      </c>
      <c r="B594" t="s">
        <v>1968</v>
      </c>
      <c r="C594" s="1">
        <v>42639</v>
      </c>
      <c r="D594" s="1">
        <v>42645</v>
      </c>
      <c r="E594" t="s">
        <v>19</v>
      </c>
      <c r="F594" t="s">
        <v>998</v>
      </c>
      <c r="G594" t="s">
        <v>573</v>
      </c>
      <c r="H594" t="s">
        <v>39</v>
      </c>
      <c r="I594" t="s">
        <v>906</v>
      </c>
      <c r="J594" t="s">
        <v>902</v>
      </c>
      <c r="K594" t="s">
        <v>903</v>
      </c>
      <c r="M594" t="s">
        <v>2991</v>
      </c>
      <c r="N594" t="s">
        <v>946</v>
      </c>
      <c r="O594" t="s">
        <v>2785</v>
      </c>
      <c r="P594" t="s">
        <v>22</v>
      </c>
      <c r="Q594" t="s">
        <v>23</v>
      </c>
      <c r="R594" t="s">
        <v>564</v>
      </c>
      <c r="S594">
        <v>23.43</v>
      </c>
      <c r="T594">
        <v>4</v>
      </c>
      <c r="U594">
        <v>0.45</v>
      </c>
      <c r="V594">
        <v>-8.9699999999999989</v>
      </c>
      <c r="W594" s="3">
        <v>0.91</v>
      </c>
      <c r="X594" t="s">
        <v>933</v>
      </c>
    </row>
    <row r="595" spans="1:24" x14ac:dyDescent="0.25">
      <c r="A595">
        <v>28717</v>
      </c>
      <c r="B595" t="s">
        <v>2338</v>
      </c>
      <c r="C595" s="1">
        <v>42598</v>
      </c>
      <c r="D595" s="1">
        <v>42601</v>
      </c>
      <c r="E595" t="s">
        <v>43</v>
      </c>
      <c r="F595" t="s">
        <v>1114</v>
      </c>
      <c r="G595" t="s">
        <v>639</v>
      </c>
      <c r="H595" t="s">
        <v>20</v>
      </c>
      <c r="I595" t="s">
        <v>906</v>
      </c>
      <c r="J595" t="s">
        <v>902</v>
      </c>
      <c r="K595" t="s">
        <v>903</v>
      </c>
      <c r="M595" t="s">
        <v>2991</v>
      </c>
      <c r="N595" t="s">
        <v>946</v>
      </c>
      <c r="O595" t="s">
        <v>1529</v>
      </c>
      <c r="P595" t="s">
        <v>22</v>
      </c>
      <c r="Q595" t="s">
        <v>69</v>
      </c>
      <c r="R595" t="s">
        <v>321</v>
      </c>
      <c r="S595">
        <v>22.522499999999997</v>
      </c>
      <c r="T595">
        <v>3</v>
      </c>
      <c r="U595">
        <v>0.45</v>
      </c>
      <c r="V595">
        <v>2.0025000000000013</v>
      </c>
      <c r="W595" s="3">
        <v>1.25</v>
      </c>
      <c r="X595" t="s">
        <v>933</v>
      </c>
    </row>
    <row r="596" spans="1:24" x14ac:dyDescent="0.25">
      <c r="A596">
        <v>22237</v>
      </c>
      <c r="B596" t="s">
        <v>1945</v>
      </c>
      <c r="C596" s="1">
        <v>42378</v>
      </c>
      <c r="D596" s="1">
        <v>42383</v>
      </c>
      <c r="E596" t="s">
        <v>19</v>
      </c>
      <c r="F596" t="s">
        <v>1159</v>
      </c>
      <c r="G596" t="s">
        <v>106</v>
      </c>
      <c r="H596" t="s">
        <v>37</v>
      </c>
      <c r="I596" t="s">
        <v>906</v>
      </c>
      <c r="J596" t="s">
        <v>902</v>
      </c>
      <c r="K596" t="s">
        <v>903</v>
      </c>
      <c r="M596" t="s">
        <v>2991</v>
      </c>
      <c r="N596" t="s">
        <v>946</v>
      </c>
      <c r="O596" t="s">
        <v>2487</v>
      </c>
      <c r="P596" t="s">
        <v>22</v>
      </c>
      <c r="Q596" t="s">
        <v>941</v>
      </c>
      <c r="R596" t="s">
        <v>190</v>
      </c>
      <c r="S596">
        <v>22.473000000000006</v>
      </c>
      <c r="T596">
        <v>3</v>
      </c>
      <c r="U596">
        <v>0.45</v>
      </c>
      <c r="V596">
        <v>-4.527000000000001</v>
      </c>
      <c r="W596" s="3">
        <v>2.2599999999999998</v>
      </c>
      <c r="X596" t="s">
        <v>933</v>
      </c>
    </row>
    <row r="597" spans="1:24" x14ac:dyDescent="0.25">
      <c r="A597">
        <v>23539</v>
      </c>
      <c r="B597" t="s">
        <v>2032</v>
      </c>
      <c r="C597" s="1">
        <v>42211</v>
      </c>
      <c r="D597" s="1">
        <v>42215</v>
      </c>
      <c r="E597" t="s">
        <v>19</v>
      </c>
      <c r="F597" t="s">
        <v>989</v>
      </c>
      <c r="G597" t="s">
        <v>867</v>
      </c>
      <c r="H597" t="s">
        <v>20</v>
      </c>
      <c r="I597" t="s">
        <v>906</v>
      </c>
      <c r="J597" t="s">
        <v>902</v>
      </c>
      <c r="K597" t="s">
        <v>903</v>
      </c>
      <c r="M597" t="s">
        <v>2991</v>
      </c>
      <c r="N597" t="s">
        <v>946</v>
      </c>
      <c r="O597" t="s">
        <v>2907</v>
      </c>
      <c r="P597" t="s">
        <v>22</v>
      </c>
      <c r="Q597" t="s">
        <v>941</v>
      </c>
      <c r="R597" t="s">
        <v>274</v>
      </c>
      <c r="S597">
        <v>22.3245</v>
      </c>
      <c r="T597">
        <v>3</v>
      </c>
      <c r="U597">
        <v>0.45</v>
      </c>
      <c r="V597">
        <v>-7.7355</v>
      </c>
      <c r="W597" s="3">
        <v>1.84</v>
      </c>
      <c r="X597" t="s">
        <v>931</v>
      </c>
    </row>
    <row r="598" spans="1:24" x14ac:dyDescent="0.25">
      <c r="A598">
        <v>26725</v>
      </c>
      <c r="B598" t="s">
        <v>2217</v>
      </c>
      <c r="C598" s="1">
        <v>42032</v>
      </c>
      <c r="D598" s="1">
        <v>42034</v>
      </c>
      <c r="E598" t="s">
        <v>47</v>
      </c>
      <c r="F598" t="s">
        <v>1073</v>
      </c>
      <c r="G598" t="s">
        <v>444</v>
      </c>
      <c r="H598" t="s">
        <v>39</v>
      </c>
      <c r="I598" t="s">
        <v>906</v>
      </c>
      <c r="J598" t="s">
        <v>902</v>
      </c>
      <c r="K598" t="s">
        <v>903</v>
      </c>
      <c r="M598" t="s">
        <v>2991</v>
      </c>
      <c r="N598" t="s">
        <v>946</v>
      </c>
      <c r="O598" t="s">
        <v>1835</v>
      </c>
      <c r="P598" t="s">
        <v>22</v>
      </c>
      <c r="Q598" t="s">
        <v>941</v>
      </c>
      <c r="R598" t="s">
        <v>247</v>
      </c>
      <c r="S598">
        <v>22.275000000000002</v>
      </c>
      <c r="T598">
        <v>3</v>
      </c>
      <c r="U598">
        <v>0.45</v>
      </c>
      <c r="V598">
        <v>-14.175000000000001</v>
      </c>
      <c r="W598" s="3">
        <v>4.22</v>
      </c>
      <c r="X598" t="s">
        <v>931</v>
      </c>
    </row>
    <row r="599" spans="1:24" x14ac:dyDescent="0.25">
      <c r="A599">
        <v>25336</v>
      </c>
      <c r="B599" t="s">
        <v>2131</v>
      </c>
      <c r="C599" s="1">
        <v>42315</v>
      </c>
      <c r="D599" s="1">
        <v>42319</v>
      </c>
      <c r="E599" t="s">
        <v>19</v>
      </c>
      <c r="F599" t="s">
        <v>1058</v>
      </c>
      <c r="G599" t="s">
        <v>694</v>
      </c>
      <c r="H599" t="s">
        <v>20</v>
      </c>
      <c r="I599" t="s">
        <v>906</v>
      </c>
      <c r="J599" t="s">
        <v>902</v>
      </c>
      <c r="K599" t="s">
        <v>903</v>
      </c>
      <c r="M599" t="s">
        <v>2991</v>
      </c>
      <c r="N599" t="s">
        <v>946</v>
      </c>
      <c r="O599" t="s">
        <v>2760</v>
      </c>
      <c r="P599" t="s">
        <v>22</v>
      </c>
      <c r="Q599" t="s">
        <v>30</v>
      </c>
      <c r="R599" t="s">
        <v>101</v>
      </c>
      <c r="S599">
        <v>21.763500000000004</v>
      </c>
      <c r="T599">
        <v>1</v>
      </c>
      <c r="U599">
        <v>0.45</v>
      </c>
      <c r="V599">
        <v>-13.066500000000003</v>
      </c>
      <c r="W599" s="3">
        <v>0.3</v>
      </c>
      <c r="X599" t="s">
        <v>931</v>
      </c>
    </row>
    <row r="600" spans="1:24" x14ac:dyDescent="0.25">
      <c r="A600">
        <v>25610</v>
      </c>
      <c r="B600" t="s">
        <v>2148</v>
      </c>
      <c r="C600" s="1">
        <v>41606</v>
      </c>
      <c r="D600" s="1">
        <v>41611</v>
      </c>
      <c r="E600" t="s">
        <v>19</v>
      </c>
      <c r="F600" t="s">
        <v>1347</v>
      </c>
      <c r="G600" t="s">
        <v>100</v>
      </c>
      <c r="H600" t="s">
        <v>20</v>
      </c>
      <c r="I600" t="s">
        <v>924</v>
      </c>
      <c r="J600" t="s">
        <v>911</v>
      </c>
      <c r="K600" t="s">
        <v>903</v>
      </c>
      <c r="M600" t="s">
        <v>2991</v>
      </c>
      <c r="N600" t="s">
        <v>946</v>
      </c>
      <c r="O600" t="s">
        <v>2488</v>
      </c>
      <c r="P600" t="s">
        <v>22</v>
      </c>
      <c r="Q600" t="s">
        <v>941</v>
      </c>
      <c r="R600" t="s">
        <v>132</v>
      </c>
      <c r="S600">
        <v>21.648</v>
      </c>
      <c r="T600">
        <v>4</v>
      </c>
      <c r="U600">
        <v>0.45</v>
      </c>
      <c r="V600">
        <v>-14.591999999999999</v>
      </c>
      <c r="W600" s="3">
        <v>1.36</v>
      </c>
      <c r="X600" t="s">
        <v>933</v>
      </c>
    </row>
    <row r="601" spans="1:24" x14ac:dyDescent="0.25">
      <c r="A601">
        <v>27504</v>
      </c>
      <c r="B601" t="s">
        <v>2279</v>
      </c>
      <c r="C601" s="1">
        <v>42250</v>
      </c>
      <c r="D601" s="1">
        <v>42255</v>
      </c>
      <c r="E601" t="s">
        <v>19</v>
      </c>
      <c r="F601" t="s">
        <v>1015</v>
      </c>
      <c r="G601" t="s">
        <v>134</v>
      </c>
      <c r="H601" t="s">
        <v>20</v>
      </c>
      <c r="I601" t="s">
        <v>906</v>
      </c>
      <c r="J601" t="s">
        <v>902</v>
      </c>
      <c r="K601" t="s">
        <v>903</v>
      </c>
      <c r="M601" t="s">
        <v>2991</v>
      </c>
      <c r="N601" t="s">
        <v>946</v>
      </c>
      <c r="O601" t="s">
        <v>1827</v>
      </c>
      <c r="P601" t="s">
        <v>22</v>
      </c>
      <c r="Q601" t="s">
        <v>935</v>
      </c>
      <c r="R601" t="s">
        <v>728</v>
      </c>
      <c r="S601">
        <v>21.648</v>
      </c>
      <c r="T601">
        <v>4</v>
      </c>
      <c r="U601">
        <v>0.45</v>
      </c>
      <c r="V601">
        <v>-12.672000000000001</v>
      </c>
      <c r="W601" s="3">
        <v>1.32</v>
      </c>
      <c r="X601" t="s">
        <v>933</v>
      </c>
    </row>
    <row r="602" spans="1:24" x14ac:dyDescent="0.25">
      <c r="A602">
        <v>26726</v>
      </c>
      <c r="B602" t="s">
        <v>2217</v>
      </c>
      <c r="C602" s="1">
        <v>42032</v>
      </c>
      <c r="D602" s="1">
        <v>42034</v>
      </c>
      <c r="E602" t="s">
        <v>47</v>
      </c>
      <c r="F602" t="s">
        <v>1073</v>
      </c>
      <c r="G602" t="s">
        <v>444</v>
      </c>
      <c r="H602" t="s">
        <v>39</v>
      </c>
      <c r="I602" t="s">
        <v>906</v>
      </c>
      <c r="J602" t="s">
        <v>902</v>
      </c>
      <c r="K602" t="s">
        <v>903</v>
      </c>
      <c r="M602" t="s">
        <v>2991</v>
      </c>
      <c r="N602" t="s">
        <v>946</v>
      </c>
      <c r="O602" t="s">
        <v>2842</v>
      </c>
      <c r="P602" t="s">
        <v>22</v>
      </c>
      <c r="Q602" t="s">
        <v>941</v>
      </c>
      <c r="R602" t="s">
        <v>447</v>
      </c>
      <c r="S602">
        <v>21.615000000000002</v>
      </c>
      <c r="T602">
        <v>5</v>
      </c>
      <c r="U602">
        <v>0.45</v>
      </c>
      <c r="V602">
        <v>-8.6850000000000023</v>
      </c>
      <c r="W602" s="3">
        <v>1.96</v>
      </c>
      <c r="X602" t="s">
        <v>931</v>
      </c>
    </row>
    <row r="603" spans="1:24" x14ac:dyDescent="0.25">
      <c r="A603">
        <v>24360</v>
      </c>
      <c r="B603" t="s">
        <v>2074</v>
      </c>
      <c r="C603" s="1">
        <v>42019</v>
      </c>
      <c r="D603" s="1">
        <v>42025</v>
      </c>
      <c r="E603" t="s">
        <v>19</v>
      </c>
      <c r="F603" t="s">
        <v>1287</v>
      </c>
      <c r="G603" t="s">
        <v>397</v>
      </c>
      <c r="H603" t="s">
        <v>20</v>
      </c>
      <c r="I603" t="s">
        <v>906</v>
      </c>
      <c r="J603" t="s">
        <v>902</v>
      </c>
      <c r="K603" t="s">
        <v>903</v>
      </c>
      <c r="M603" t="s">
        <v>2991</v>
      </c>
      <c r="N603" t="s">
        <v>946</v>
      </c>
      <c r="O603" t="s">
        <v>2756</v>
      </c>
      <c r="P603" t="s">
        <v>22</v>
      </c>
      <c r="Q603" t="s">
        <v>942</v>
      </c>
      <c r="R603" t="s">
        <v>582</v>
      </c>
      <c r="S603">
        <v>21.572999999999997</v>
      </c>
      <c r="T603">
        <v>2</v>
      </c>
      <c r="U603">
        <v>0.15000000000000002</v>
      </c>
      <c r="V603">
        <v>6.0329999999999995</v>
      </c>
      <c r="W603" s="3">
        <v>2.31</v>
      </c>
      <c r="X603" t="s">
        <v>934</v>
      </c>
    </row>
    <row r="604" spans="1:24" x14ac:dyDescent="0.25">
      <c r="A604">
        <v>28147</v>
      </c>
      <c r="B604" t="s">
        <v>2309</v>
      </c>
      <c r="C604" s="1">
        <v>42250</v>
      </c>
      <c r="D604" s="1">
        <v>42255</v>
      </c>
      <c r="E604" t="s">
        <v>19</v>
      </c>
      <c r="F604" t="s">
        <v>1087</v>
      </c>
      <c r="G604" t="s">
        <v>357</v>
      </c>
      <c r="H604" t="s">
        <v>20</v>
      </c>
      <c r="I604" t="s">
        <v>901</v>
      </c>
      <c r="J604" t="s">
        <v>902</v>
      </c>
      <c r="K604" t="s">
        <v>903</v>
      </c>
      <c r="M604" t="s">
        <v>2991</v>
      </c>
      <c r="N604" t="s">
        <v>946</v>
      </c>
      <c r="O604" t="s">
        <v>2659</v>
      </c>
      <c r="P604" t="s">
        <v>27</v>
      </c>
      <c r="Q604" t="s">
        <v>936</v>
      </c>
      <c r="R604" t="s">
        <v>478</v>
      </c>
      <c r="S604">
        <v>21.397500000000001</v>
      </c>
      <c r="T604">
        <v>1</v>
      </c>
      <c r="U604">
        <v>0.25</v>
      </c>
      <c r="V604">
        <v>0.54749999999999943</v>
      </c>
      <c r="W604" s="3">
        <v>2.99</v>
      </c>
      <c r="X604" t="s">
        <v>931</v>
      </c>
    </row>
    <row r="605" spans="1:24" x14ac:dyDescent="0.25">
      <c r="A605">
        <v>21454</v>
      </c>
      <c r="B605" t="s">
        <v>1902</v>
      </c>
      <c r="C605" s="1">
        <v>41951</v>
      </c>
      <c r="D605" s="1">
        <v>41956</v>
      </c>
      <c r="E605" t="s">
        <v>19</v>
      </c>
      <c r="F605" t="s">
        <v>1248</v>
      </c>
      <c r="G605" t="s">
        <v>527</v>
      </c>
      <c r="H605" t="s">
        <v>39</v>
      </c>
      <c r="I605" t="s">
        <v>901</v>
      </c>
      <c r="J605" t="s">
        <v>902</v>
      </c>
      <c r="K605" t="s">
        <v>903</v>
      </c>
      <c r="M605" t="s">
        <v>2991</v>
      </c>
      <c r="N605" t="s">
        <v>946</v>
      </c>
      <c r="O605" t="s">
        <v>2723</v>
      </c>
      <c r="P605" t="s">
        <v>22</v>
      </c>
      <c r="Q605" t="s">
        <v>941</v>
      </c>
      <c r="R605" t="s">
        <v>38</v>
      </c>
      <c r="S605">
        <v>21.351000000000006</v>
      </c>
      <c r="T605">
        <v>2</v>
      </c>
      <c r="U605">
        <v>0.45</v>
      </c>
      <c r="V605">
        <v>-7.3890000000000047</v>
      </c>
      <c r="W605" s="3">
        <v>1.51</v>
      </c>
      <c r="X605" t="s">
        <v>933</v>
      </c>
    </row>
    <row r="606" spans="1:24" x14ac:dyDescent="0.25">
      <c r="A606">
        <v>25840</v>
      </c>
      <c r="B606" t="s">
        <v>2160</v>
      </c>
      <c r="C606" s="1">
        <v>42244</v>
      </c>
      <c r="D606" s="1">
        <v>42251</v>
      </c>
      <c r="E606" t="s">
        <v>19</v>
      </c>
      <c r="F606" t="s">
        <v>1136</v>
      </c>
      <c r="G606" t="s">
        <v>661</v>
      </c>
      <c r="H606" t="s">
        <v>39</v>
      </c>
      <c r="I606" t="s">
        <v>907</v>
      </c>
      <c r="J606" t="s">
        <v>902</v>
      </c>
      <c r="K606" t="s">
        <v>903</v>
      </c>
      <c r="M606" t="s">
        <v>2991</v>
      </c>
      <c r="N606" t="s">
        <v>946</v>
      </c>
      <c r="O606" t="s">
        <v>2670</v>
      </c>
      <c r="P606" t="s">
        <v>22</v>
      </c>
      <c r="Q606" t="s">
        <v>30</v>
      </c>
      <c r="R606" t="s">
        <v>791</v>
      </c>
      <c r="S606">
        <v>21.285000000000004</v>
      </c>
      <c r="T606">
        <v>2</v>
      </c>
      <c r="U606">
        <v>0.45</v>
      </c>
      <c r="V606">
        <v>-17.055000000000003</v>
      </c>
      <c r="W606" s="3">
        <v>3.28</v>
      </c>
      <c r="X606" t="s">
        <v>934</v>
      </c>
    </row>
    <row r="607" spans="1:24" x14ac:dyDescent="0.25">
      <c r="A607">
        <v>26407</v>
      </c>
      <c r="B607" t="s">
        <v>2199</v>
      </c>
      <c r="C607" s="1">
        <v>42019</v>
      </c>
      <c r="D607" s="1">
        <v>42025</v>
      </c>
      <c r="E607" t="s">
        <v>19</v>
      </c>
      <c r="F607" t="s">
        <v>1260</v>
      </c>
      <c r="G607" t="s">
        <v>421</v>
      </c>
      <c r="H607" t="s">
        <v>37</v>
      </c>
      <c r="I607" t="s">
        <v>906</v>
      </c>
      <c r="J607" t="s">
        <v>902</v>
      </c>
      <c r="K607" t="s">
        <v>903</v>
      </c>
      <c r="M607" t="s">
        <v>2991</v>
      </c>
      <c r="N607" t="s">
        <v>946</v>
      </c>
      <c r="O607" t="s">
        <v>2903</v>
      </c>
      <c r="P607" t="s">
        <v>22</v>
      </c>
      <c r="Q607" t="s">
        <v>941</v>
      </c>
      <c r="R607" t="s">
        <v>753</v>
      </c>
      <c r="S607">
        <v>21.219000000000005</v>
      </c>
      <c r="T607">
        <v>2</v>
      </c>
      <c r="U607">
        <v>0.45</v>
      </c>
      <c r="V607">
        <v>-1.9410000000000061</v>
      </c>
      <c r="W607" s="3">
        <v>3.13</v>
      </c>
      <c r="X607" t="s">
        <v>934</v>
      </c>
    </row>
    <row r="608" spans="1:24" x14ac:dyDescent="0.25">
      <c r="A608">
        <v>21804</v>
      </c>
      <c r="B608" t="s">
        <v>1919</v>
      </c>
      <c r="C608" s="1">
        <v>42443</v>
      </c>
      <c r="D608" s="1">
        <v>42448</v>
      </c>
      <c r="E608" t="s">
        <v>19</v>
      </c>
      <c r="F608" t="s">
        <v>1201</v>
      </c>
      <c r="G608" t="s">
        <v>810</v>
      </c>
      <c r="H608" t="s">
        <v>37</v>
      </c>
      <c r="I608" t="s">
        <v>906</v>
      </c>
      <c r="J608" t="s">
        <v>902</v>
      </c>
      <c r="K608" t="s">
        <v>903</v>
      </c>
      <c r="M608" t="s">
        <v>2991</v>
      </c>
      <c r="N608" t="s">
        <v>946</v>
      </c>
      <c r="O608" t="s">
        <v>2775</v>
      </c>
      <c r="P608" t="s">
        <v>31</v>
      </c>
      <c r="Q608" t="s">
        <v>945</v>
      </c>
      <c r="R608" t="s">
        <v>157</v>
      </c>
      <c r="S608">
        <v>21.070500000000003</v>
      </c>
      <c r="T608">
        <v>1</v>
      </c>
      <c r="U608">
        <v>0.45</v>
      </c>
      <c r="V608">
        <v>-16.879500000000004</v>
      </c>
      <c r="W608" s="3">
        <v>1.07</v>
      </c>
      <c r="X608" t="s">
        <v>933</v>
      </c>
    </row>
    <row r="609" spans="1:24" x14ac:dyDescent="0.25">
      <c r="A609">
        <v>21523</v>
      </c>
      <c r="B609" t="s">
        <v>1908</v>
      </c>
      <c r="C609" s="1">
        <v>42568</v>
      </c>
      <c r="D609" s="1">
        <v>42572</v>
      </c>
      <c r="E609" t="s">
        <v>19</v>
      </c>
      <c r="F609" t="s">
        <v>999</v>
      </c>
      <c r="G609" t="s">
        <v>327</v>
      </c>
      <c r="H609" t="s">
        <v>39</v>
      </c>
      <c r="I609" t="s">
        <v>906</v>
      </c>
      <c r="J609" t="s">
        <v>902</v>
      </c>
      <c r="K609" t="s">
        <v>903</v>
      </c>
      <c r="M609" t="s">
        <v>2991</v>
      </c>
      <c r="N609" t="s">
        <v>946</v>
      </c>
      <c r="O609" t="s">
        <v>2678</v>
      </c>
      <c r="P609" t="s">
        <v>22</v>
      </c>
      <c r="Q609" t="s">
        <v>942</v>
      </c>
      <c r="R609" t="s">
        <v>191</v>
      </c>
      <c r="S609">
        <v>20.782500000000002</v>
      </c>
      <c r="T609">
        <v>5</v>
      </c>
      <c r="U609">
        <v>0.15000000000000002</v>
      </c>
      <c r="V609">
        <v>4.8825000000000003</v>
      </c>
      <c r="W609" s="3">
        <v>2.58</v>
      </c>
      <c r="X609" t="s">
        <v>933</v>
      </c>
    </row>
    <row r="610" spans="1:24" x14ac:dyDescent="0.25">
      <c r="A610">
        <v>25585</v>
      </c>
      <c r="B610" t="s">
        <v>2147</v>
      </c>
      <c r="C610" s="1">
        <v>42678</v>
      </c>
      <c r="D610" s="1">
        <v>42680</v>
      </c>
      <c r="E610" t="s">
        <v>47</v>
      </c>
      <c r="F610" t="s">
        <v>981</v>
      </c>
      <c r="G610" t="s">
        <v>588</v>
      </c>
      <c r="H610" t="s">
        <v>20</v>
      </c>
      <c r="I610" t="s">
        <v>901</v>
      </c>
      <c r="J610" t="s">
        <v>902</v>
      </c>
      <c r="K610" t="s">
        <v>903</v>
      </c>
      <c r="M610" t="s">
        <v>2991</v>
      </c>
      <c r="N610" t="s">
        <v>946</v>
      </c>
      <c r="O610" t="s">
        <v>2797</v>
      </c>
      <c r="P610" t="s">
        <v>22</v>
      </c>
      <c r="Q610" t="s">
        <v>30</v>
      </c>
      <c r="R610" t="s">
        <v>430</v>
      </c>
      <c r="S610">
        <v>20.559000000000005</v>
      </c>
      <c r="T610">
        <v>2</v>
      </c>
      <c r="U610">
        <v>0.45</v>
      </c>
      <c r="V610">
        <v>-15.741000000000001</v>
      </c>
      <c r="W610" s="3">
        <v>4.26</v>
      </c>
      <c r="X610" t="s">
        <v>931</v>
      </c>
    </row>
    <row r="611" spans="1:24" x14ac:dyDescent="0.25">
      <c r="A611">
        <v>28920</v>
      </c>
      <c r="B611" t="s">
        <v>2349</v>
      </c>
      <c r="C611" s="1">
        <v>42223</v>
      </c>
      <c r="D611" s="1">
        <v>42227</v>
      </c>
      <c r="E611" t="s">
        <v>43</v>
      </c>
      <c r="F611" t="s">
        <v>1270</v>
      </c>
      <c r="G611" t="s">
        <v>618</v>
      </c>
      <c r="H611" t="s">
        <v>20</v>
      </c>
      <c r="I611" t="s">
        <v>918</v>
      </c>
      <c r="J611" t="s">
        <v>911</v>
      </c>
      <c r="K611" t="s">
        <v>903</v>
      </c>
      <c r="M611" t="s">
        <v>2991</v>
      </c>
      <c r="N611" t="s">
        <v>946</v>
      </c>
      <c r="O611" t="s">
        <v>2590</v>
      </c>
      <c r="P611" t="s">
        <v>22</v>
      </c>
      <c r="Q611" t="s">
        <v>30</v>
      </c>
      <c r="R611" t="s">
        <v>105</v>
      </c>
      <c r="S611">
        <v>20.542499999999997</v>
      </c>
      <c r="T611">
        <v>1</v>
      </c>
      <c r="U611">
        <v>0.45</v>
      </c>
      <c r="V611">
        <v>-7.5000000000002842E-3</v>
      </c>
      <c r="W611" s="3">
        <v>1.3</v>
      </c>
      <c r="X611" t="s">
        <v>933</v>
      </c>
    </row>
    <row r="612" spans="1:24" x14ac:dyDescent="0.25">
      <c r="A612">
        <v>25607</v>
      </c>
      <c r="B612" t="s">
        <v>2148</v>
      </c>
      <c r="C612" s="1">
        <v>41606</v>
      </c>
      <c r="D612" s="1">
        <v>41611</v>
      </c>
      <c r="E612" t="s">
        <v>19</v>
      </c>
      <c r="F612" t="s">
        <v>1347</v>
      </c>
      <c r="G612" t="s">
        <v>100</v>
      </c>
      <c r="H612" t="s">
        <v>20</v>
      </c>
      <c r="I612" t="s">
        <v>924</v>
      </c>
      <c r="J612" t="s">
        <v>911</v>
      </c>
      <c r="K612" t="s">
        <v>903</v>
      </c>
      <c r="M612" t="s">
        <v>2991</v>
      </c>
      <c r="N612" t="s">
        <v>946</v>
      </c>
      <c r="O612" t="s">
        <v>2452</v>
      </c>
      <c r="P612" t="s">
        <v>22</v>
      </c>
      <c r="Q612" t="s">
        <v>940</v>
      </c>
      <c r="R612" t="s">
        <v>837</v>
      </c>
      <c r="S612">
        <v>20.427000000000003</v>
      </c>
      <c r="T612">
        <v>1</v>
      </c>
      <c r="U612">
        <v>0.45</v>
      </c>
      <c r="V612">
        <v>-8.5530000000000008</v>
      </c>
      <c r="W612" s="3">
        <v>1.34</v>
      </c>
      <c r="X612" t="s">
        <v>933</v>
      </c>
    </row>
    <row r="613" spans="1:24" x14ac:dyDescent="0.25">
      <c r="A613">
        <v>27148</v>
      </c>
      <c r="B613" t="s">
        <v>2247</v>
      </c>
      <c r="C613" s="1">
        <v>41603</v>
      </c>
      <c r="D613" s="1">
        <v>41608</v>
      </c>
      <c r="E613" t="s">
        <v>19</v>
      </c>
      <c r="F613" t="s">
        <v>1019</v>
      </c>
      <c r="G613" t="s">
        <v>828</v>
      </c>
      <c r="H613" t="s">
        <v>20</v>
      </c>
      <c r="I613" t="s">
        <v>918</v>
      </c>
      <c r="J613" t="s">
        <v>911</v>
      </c>
      <c r="K613" t="s">
        <v>903</v>
      </c>
      <c r="M613" t="s">
        <v>2991</v>
      </c>
      <c r="N613" t="s">
        <v>946</v>
      </c>
      <c r="O613" t="s">
        <v>2556</v>
      </c>
      <c r="P613" t="s">
        <v>22</v>
      </c>
      <c r="Q613" t="s">
        <v>942</v>
      </c>
      <c r="R613" t="s">
        <v>205</v>
      </c>
      <c r="S613">
        <v>20.399999999999999</v>
      </c>
      <c r="T613">
        <v>2</v>
      </c>
      <c r="U613">
        <v>0.15000000000000002</v>
      </c>
      <c r="V613">
        <v>-1.2000000000000002</v>
      </c>
      <c r="W613" s="3">
        <v>0.44</v>
      </c>
      <c r="X613" t="s">
        <v>933</v>
      </c>
    </row>
    <row r="614" spans="1:24" x14ac:dyDescent="0.25">
      <c r="A614">
        <v>21875</v>
      </c>
      <c r="B614" t="s">
        <v>1925</v>
      </c>
      <c r="C614" s="1">
        <v>42611</v>
      </c>
      <c r="D614" s="1">
        <v>42616</v>
      </c>
      <c r="E614" t="s">
        <v>19</v>
      </c>
      <c r="F614" t="s">
        <v>987</v>
      </c>
      <c r="G614" t="s">
        <v>486</v>
      </c>
      <c r="H614" t="s">
        <v>39</v>
      </c>
      <c r="I614" t="s">
        <v>906</v>
      </c>
      <c r="J614" t="s">
        <v>902</v>
      </c>
      <c r="K614" t="s">
        <v>903</v>
      </c>
      <c r="M614" t="s">
        <v>2991</v>
      </c>
      <c r="N614" t="s">
        <v>946</v>
      </c>
      <c r="O614" t="s">
        <v>2467</v>
      </c>
      <c r="P614" t="s">
        <v>22</v>
      </c>
      <c r="Q614" t="s">
        <v>23</v>
      </c>
      <c r="R614" t="s">
        <v>531</v>
      </c>
      <c r="S614">
        <v>20.196000000000005</v>
      </c>
      <c r="T614">
        <v>3</v>
      </c>
      <c r="U614">
        <v>0.45</v>
      </c>
      <c r="V614">
        <v>-9.9540000000000006</v>
      </c>
      <c r="W614" s="3">
        <v>1.23</v>
      </c>
      <c r="X614" t="s">
        <v>933</v>
      </c>
    </row>
    <row r="615" spans="1:24" x14ac:dyDescent="0.25">
      <c r="A615">
        <v>26564</v>
      </c>
      <c r="B615" t="s">
        <v>2209</v>
      </c>
      <c r="C615" s="1">
        <v>42503</v>
      </c>
      <c r="D615" s="1">
        <v>42506</v>
      </c>
      <c r="E615" t="s">
        <v>43</v>
      </c>
      <c r="F615" t="s">
        <v>1285</v>
      </c>
      <c r="G615" t="s">
        <v>638</v>
      </c>
      <c r="H615" t="s">
        <v>37</v>
      </c>
      <c r="I615" t="s">
        <v>907</v>
      </c>
      <c r="J615" t="s">
        <v>902</v>
      </c>
      <c r="K615" t="s">
        <v>903</v>
      </c>
      <c r="M615" t="s">
        <v>2991</v>
      </c>
      <c r="N615" t="s">
        <v>946</v>
      </c>
      <c r="O615" t="s">
        <v>2460</v>
      </c>
      <c r="P615" t="s">
        <v>22</v>
      </c>
      <c r="Q615" t="s">
        <v>23</v>
      </c>
      <c r="R615" t="s">
        <v>666</v>
      </c>
      <c r="S615">
        <v>19.635000000000002</v>
      </c>
      <c r="T615">
        <v>5</v>
      </c>
      <c r="U615">
        <v>0.45</v>
      </c>
      <c r="V615">
        <v>-2.8650000000000002</v>
      </c>
      <c r="W615" s="3">
        <v>2.33</v>
      </c>
      <c r="X615" t="s">
        <v>932</v>
      </c>
    </row>
    <row r="616" spans="1:24" x14ac:dyDescent="0.25">
      <c r="A616">
        <v>25342</v>
      </c>
      <c r="B616" t="s">
        <v>2131</v>
      </c>
      <c r="C616" s="1">
        <v>42315</v>
      </c>
      <c r="D616" s="1">
        <v>42319</v>
      </c>
      <c r="E616" t="s">
        <v>19</v>
      </c>
      <c r="F616" t="s">
        <v>1058</v>
      </c>
      <c r="G616" t="s">
        <v>694</v>
      </c>
      <c r="H616" t="s">
        <v>20</v>
      </c>
      <c r="I616" t="s">
        <v>906</v>
      </c>
      <c r="J616" t="s">
        <v>902</v>
      </c>
      <c r="K616" t="s">
        <v>903</v>
      </c>
      <c r="M616" t="s">
        <v>2991</v>
      </c>
      <c r="N616" t="s">
        <v>946</v>
      </c>
      <c r="O616" t="s">
        <v>2904</v>
      </c>
      <c r="P616" t="s">
        <v>22</v>
      </c>
      <c r="Q616" t="s">
        <v>941</v>
      </c>
      <c r="R616" t="s">
        <v>628</v>
      </c>
      <c r="S616">
        <v>18.958500000000001</v>
      </c>
      <c r="T616">
        <v>3</v>
      </c>
      <c r="U616">
        <v>0.45</v>
      </c>
      <c r="V616">
        <v>-5.5215000000000014</v>
      </c>
      <c r="W616" s="3">
        <v>2.85</v>
      </c>
      <c r="X616" t="s">
        <v>931</v>
      </c>
    </row>
    <row r="617" spans="1:24" x14ac:dyDescent="0.25">
      <c r="A617">
        <v>22946</v>
      </c>
      <c r="B617" t="s">
        <v>1993</v>
      </c>
      <c r="C617" s="1">
        <v>42327</v>
      </c>
      <c r="D617" s="1">
        <v>42334</v>
      </c>
      <c r="E617" t="s">
        <v>19</v>
      </c>
      <c r="F617" t="s">
        <v>1091</v>
      </c>
      <c r="G617" t="s">
        <v>487</v>
      </c>
      <c r="H617" t="s">
        <v>39</v>
      </c>
      <c r="I617" t="s">
        <v>906</v>
      </c>
      <c r="J617" t="s">
        <v>902</v>
      </c>
      <c r="K617" t="s">
        <v>903</v>
      </c>
      <c r="M617" t="s">
        <v>2991</v>
      </c>
      <c r="N617" t="s">
        <v>946</v>
      </c>
      <c r="O617" t="s">
        <v>2617</v>
      </c>
      <c r="P617" t="s">
        <v>22</v>
      </c>
      <c r="Q617" t="s">
        <v>69</v>
      </c>
      <c r="R617" t="s">
        <v>411</v>
      </c>
      <c r="S617">
        <v>18.777000000000001</v>
      </c>
      <c r="T617">
        <v>2</v>
      </c>
      <c r="U617">
        <v>0.45</v>
      </c>
      <c r="V617">
        <v>-3.7830000000000013</v>
      </c>
      <c r="W617" s="3">
        <v>1.45</v>
      </c>
      <c r="X617" t="s">
        <v>933</v>
      </c>
    </row>
    <row r="618" spans="1:24" x14ac:dyDescent="0.25">
      <c r="A618">
        <v>23828</v>
      </c>
      <c r="B618" t="s">
        <v>2050</v>
      </c>
      <c r="C618" s="1">
        <v>41920</v>
      </c>
      <c r="D618" s="1">
        <v>41925</v>
      </c>
      <c r="E618" t="s">
        <v>19</v>
      </c>
      <c r="F618" t="s">
        <v>1004</v>
      </c>
      <c r="G618" t="s">
        <v>146</v>
      </c>
      <c r="H618" t="s">
        <v>39</v>
      </c>
      <c r="I618" t="s">
        <v>906</v>
      </c>
      <c r="J618" t="s">
        <v>902</v>
      </c>
      <c r="K618" t="s">
        <v>903</v>
      </c>
      <c r="M618" t="s">
        <v>2991</v>
      </c>
      <c r="N618" t="s">
        <v>946</v>
      </c>
      <c r="O618" t="s">
        <v>2918</v>
      </c>
      <c r="P618" t="s">
        <v>22</v>
      </c>
      <c r="Q618" t="s">
        <v>937</v>
      </c>
      <c r="R618" t="s">
        <v>433</v>
      </c>
      <c r="S618">
        <v>18.7605</v>
      </c>
      <c r="T618">
        <v>3</v>
      </c>
      <c r="U618">
        <v>0.45</v>
      </c>
      <c r="V618">
        <v>-8.8695000000000004</v>
      </c>
      <c r="W618" s="3">
        <v>1.08</v>
      </c>
      <c r="X618" t="s">
        <v>933</v>
      </c>
    </row>
    <row r="619" spans="1:24" x14ac:dyDescent="0.25">
      <c r="A619">
        <v>26409</v>
      </c>
      <c r="B619" t="s">
        <v>2199</v>
      </c>
      <c r="C619" s="1">
        <v>42019</v>
      </c>
      <c r="D619" s="1">
        <v>42025</v>
      </c>
      <c r="E619" t="s">
        <v>19</v>
      </c>
      <c r="F619" t="s">
        <v>1260</v>
      </c>
      <c r="G619" t="s">
        <v>421</v>
      </c>
      <c r="H619" t="s">
        <v>37</v>
      </c>
      <c r="I619" t="s">
        <v>906</v>
      </c>
      <c r="J619" t="s">
        <v>902</v>
      </c>
      <c r="K619" t="s">
        <v>903</v>
      </c>
      <c r="M619" t="s">
        <v>2991</v>
      </c>
      <c r="N619" t="s">
        <v>946</v>
      </c>
      <c r="O619" t="s">
        <v>2502</v>
      </c>
      <c r="P619" t="s">
        <v>22</v>
      </c>
      <c r="Q619" t="s">
        <v>941</v>
      </c>
      <c r="R619" t="s">
        <v>247</v>
      </c>
      <c r="S619">
        <v>18.710999999999999</v>
      </c>
      <c r="T619">
        <v>3</v>
      </c>
      <c r="U619">
        <v>0.45</v>
      </c>
      <c r="V619">
        <v>-10.629</v>
      </c>
      <c r="W619" s="3">
        <v>1.95</v>
      </c>
      <c r="X619" t="s">
        <v>934</v>
      </c>
    </row>
    <row r="620" spans="1:24" x14ac:dyDescent="0.25">
      <c r="A620">
        <v>23464</v>
      </c>
      <c r="B620" t="s">
        <v>2028</v>
      </c>
      <c r="C620" s="1">
        <v>42567</v>
      </c>
      <c r="D620" s="1">
        <v>42569</v>
      </c>
      <c r="E620" t="s">
        <v>43</v>
      </c>
      <c r="F620" t="s">
        <v>1151</v>
      </c>
      <c r="G620" t="s">
        <v>165</v>
      </c>
      <c r="H620" t="s">
        <v>20</v>
      </c>
      <c r="I620" t="s">
        <v>905</v>
      </c>
      <c r="J620" t="s">
        <v>902</v>
      </c>
      <c r="K620" t="s">
        <v>903</v>
      </c>
      <c r="M620" t="s">
        <v>2991</v>
      </c>
      <c r="N620" t="s">
        <v>946</v>
      </c>
      <c r="O620" t="s">
        <v>1822</v>
      </c>
      <c r="P620" t="s">
        <v>22</v>
      </c>
      <c r="Q620" t="s">
        <v>69</v>
      </c>
      <c r="R620" t="s">
        <v>374</v>
      </c>
      <c r="S620">
        <v>18.545999999999999</v>
      </c>
      <c r="T620">
        <v>2</v>
      </c>
      <c r="U620">
        <v>0.45</v>
      </c>
      <c r="V620">
        <v>-4.4339999999999993</v>
      </c>
      <c r="W620" s="3">
        <v>3.25</v>
      </c>
      <c r="X620" t="s">
        <v>931</v>
      </c>
    </row>
    <row r="621" spans="1:24" x14ac:dyDescent="0.25">
      <c r="A621">
        <v>27866</v>
      </c>
      <c r="B621" t="s">
        <v>2296</v>
      </c>
      <c r="C621" s="1">
        <v>41564</v>
      </c>
      <c r="D621" s="1">
        <v>41570</v>
      </c>
      <c r="E621" t="s">
        <v>19</v>
      </c>
      <c r="F621" t="s">
        <v>1193</v>
      </c>
      <c r="G621" t="s">
        <v>124</v>
      </c>
      <c r="H621" t="s">
        <v>20</v>
      </c>
      <c r="I621" t="s">
        <v>906</v>
      </c>
      <c r="J621" t="s">
        <v>902</v>
      </c>
      <c r="K621" t="s">
        <v>903</v>
      </c>
      <c r="M621" t="s">
        <v>2991</v>
      </c>
      <c r="N621" t="s">
        <v>946</v>
      </c>
      <c r="O621" t="s">
        <v>2631</v>
      </c>
      <c r="P621" t="s">
        <v>22</v>
      </c>
      <c r="Q621" t="s">
        <v>942</v>
      </c>
      <c r="R621" t="s">
        <v>74</v>
      </c>
      <c r="S621">
        <v>18.512999999999998</v>
      </c>
      <c r="T621">
        <v>3</v>
      </c>
      <c r="U621">
        <v>0.15000000000000002</v>
      </c>
      <c r="V621">
        <v>0.60299999999999976</v>
      </c>
      <c r="W621" s="3">
        <v>1.21</v>
      </c>
      <c r="X621" t="s">
        <v>933</v>
      </c>
    </row>
    <row r="622" spans="1:24" x14ac:dyDescent="0.25">
      <c r="A622">
        <v>22512</v>
      </c>
      <c r="B622" t="s">
        <v>1966</v>
      </c>
      <c r="C622" s="1">
        <v>42727</v>
      </c>
      <c r="D622" s="1">
        <v>42731</v>
      </c>
      <c r="E622" t="s">
        <v>19</v>
      </c>
      <c r="F622" t="s">
        <v>1262</v>
      </c>
      <c r="G622" t="s">
        <v>139</v>
      </c>
      <c r="H622" t="s">
        <v>37</v>
      </c>
      <c r="I622" t="s">
        <v>906</v>
      </c>
      <c r="J622" t="s">
        <v>902</v>
      </c>
      <c r="K622" t="s">
        <v>903</v>
      </c>
      <c r="M622" t="s">
        <v>2991</v>
      </c>
      <c r="N622" t="s">
        <v>946</v>
      </c>
      <c r="O622" t="s">
        <v>2630</v>
      </c>
      <c r="P622" t="s">
        <v>22</v>
      </c>
      <c r="Q622" t="s">
        <v>937</v>
      </c>
      <c r="R622" t="s">
        <v>843</v>
      </c>
      <c r="S622">
        <v>18.248999999999999</v>
      </c>
      <c r="T622">
        <v>2</v>
      </c>
      <c r="U622">
        <v>0.45</v>
      </c>
      <c r="V622">
        <v>-12.950999999999997</v>
      </c>
      <c r="W622" s="3">
        <v>0.87</v>
      </c>
      <c r="X622" t="s">
        <v>933</v>
      </c>
    </row>
    <row r="623" spans="1:24" x14ac:dyDescent="0.25">
      <c r="A623">
        <v>25437</v>
      </c>
      <c r="B623" t="s">
        <v>2137</v>
      </c>
      <c r="C623" s="1">
        <v>42449</v>
      </c>
      <c r="D623" s="1">
        <v>42452</v>
      </c>
      <c r="E623" t="s">
        <v>43</v>
      </c>
      <c r="F623" t="s">
        <v>994</v>
      </c>
      <c r="G623" t="s">
        <v>64</v>
      </c>
      <c r="H623" t="s">
        <v>37</v>
      </c>
      <c r="I623" t="s">
        <v>906</v>
      </c>
      <c r="J623" t="s">
        <v>902</v>
      </c>
      <c r="K623" t="s">
        <v>903</v>
      </c>
      <c r="M623" t="s">
        <v>2991</v>
      </c>
      <c r="N623" t="s">
        <v>946</v>
      </c>
      <c r="O623" t="s">
        <v>2560</v>
      </c>
      <c r="P623" t="s">
        <v>22</v>
      </c>
      <c r="Q623" t="s">
        <v>30</v>
      </c>
      <c r="R623" t="s">
        <v>857</v>
      </c>
      <c r="S623">
        <v>17.721000000000004</v>
      </c>
      <c r="T623">
        <v>3</v>
      </c>
      <c r="U623">
        <v>0.45</v>
      </c>
      <c r="V623">
        <v>-13.869</v>
      </c>
      <c r="W623" s="3">
        <v>1.99</v>
      </c>
      <c r="X623" t="s">
        <v>931</v>
      </c>
    </row>
    <row r="624" spans="1:24" x14ac:dyDescent="0.25">
      <c r="A624">
        <v>24231</v>
      </c>
      <c r="B624" t="s">
        <v>2069</v>
      </c>
      <c r="C624" s="1">
        <v>42165</v>
      </c>
      <c r="D624" s="1">
        <v>42169</v>
      </c>
      <c r="E624" t="s">
        <v>19</v>
      </c>
      <c r="F624" t="s">
        <v>1143</v>
      </c>
      <c r="G624" t="s">
        <v>414</v>
      </c>
      <c r="H624" t="s">
        <v>20</v>
      </c>
      <c r="I624" t="s">
        <v>906</v>
      </c>
      <c r="J624" t="s">
        <v>902</v>
      </c>
      <c r="K624" t="s">
        <v>903</v>
      </c>
      <c r="M624" t="s">
        <v>2991</v>
      </c>
      <c r="N624" t="s">
        <v>946</v>
      </c>
      <c r="O624" t="s">
        <v>2785</v>
      </c>
      <c r="P624" t="s">
        <v>22</v>
      </c>
      <c r="Q624" t="s">
        <v>23</v>
      </c>
      <c r="R624" t="s">
        <v>564</v>
      </c>
      <c r="S624">
        <v>17.572499999999998</v>
      </c>
      <c r="T624">
        <v>3</v>
      </c>
      <c r="U624">
        <v>0.45</v>
      </c>
      <c r="V624">
        <v>-6.7274999999999983</v>
      </c>
      <c r="W624" s="3">
        <v>0.83</v>
      </c>
      <c r="X624" t="s">
        <v>931</v>
      </c>
    </row>
    <row r="625" spans="1:24" x14ac:dyDescent="0.25">
      <c r="A625">
        <v>21235</v>
      </c>
      <c r="B625" t="s">
        <v>1891</v>
      </c>
      <c r="C625" s="1">
        <v>41573</v>
      </c>
      <c r="D625" s="1">
        <v>41579</v>
      </c>
      <c r="E625" t="s">
        <v>19</v>
      </c>
      <c r="F625" t="s">
        <v>1113</v>
      </c>
      <c r="G625" t="s">
        <v>548</v>
      </c>
      <c r="H625" t="s">
        <v>39</v>
      </c>
      <c r="I625" t="s">
        <v>906</v>
      </c>
      <c r="J625" t="s">
        <v>902</v>
      </c>
      <c r="K625" t="s">
        <v>903</v>
      </c>
      <c r="M625" t="s">
        <v>2991</v>
      </c>
      <c r="N625" t="s">
        <v>946</v>
      </c>
      <c r="O625" t="s">
        <v>2690</v>
      </c>
      <c r="P625" t="s">
        <v>22</v>
      </c>
      <c r="Q625" t="s">
        <v>23</v>
      </c>
      <c r="R625" t="s">
        <v>690</v>
      </c>
      <c r="S625">
        <v>17.275500000000001</v>
      </c>
      <c r="T625">
        <v>3</v>
      </c>
      <c r="U625">
        <v>0.45</v>
      </c>
      <c r="V625">
        <v>-9.4544999999999995</v>
      </c>
      <c r="W625" s="3">
        <v>0.97</v>
      </c>
      <c r="X625" t="s">
        <v>933</v>
      </c>
    </row>
    <row r="626" spans="1:24" x14ac:dyDescent="0.25">
      <c r="A626">
        <v>29533</v>
      </c>
      <c r="B626" t="s">
        <v>2381</v>
      </c>
      <c r="C626" s="1">
        <v>42672</v>
      </c>
      <c r="D626" s="1">
        <v>42672</v>
      </c>
      <c r="E626" t="s">
        <v>58</v>
      </c>
      <c r="F626" t="s">
        <v>1008</v>
      </c>
      <c r="G626" t="s">
        <v>621</v>
      </c>
      <c r="H626" t="s">
        <v>39</v>
      </c>
      <c r="I626" t="s">
        <v>906</v>
      </c>
      <c r="J626" t="s">
        <v>902</v>
      </c>
      <c r="K626" t="s">
        <v>903</v>
      </c>
      <c r="M626" t="s">
        <v>2991</v>
      </c>
      <c r="N626" t="s">
        <v>946</v>
      </c>
      <c r="O626" t="s">
        <v>2606</v>
      </c>
      <c r="P626" t="s">
        <v>22</v>
      </c>
      <c r="Q626" t="s">
        <v>69</v>
      </c>
      <c r="R626" t="s">
        <v>658</v>
      </c>
      <c r="S626">
        <v>17.226000000000003</v>
      </c>
      <c r="T626">
        <v>2</v>
      </c>
      <c r="U626">
        <v>0.45</v>
      </c>
      <c r="V626">
        <v>-3.7740000000000009</v>
      </c>
      <c r="W626" s="3">
        <v>7.16</v>
      </c>
      <c r="X626" t="s">
        <v>932</v>
      </c>
    </row>
    <row r="627" spans="1:24" x14ac:dyDescent="0.25">
      <c r="A627">
        <v>24833</v>
      </c>
      <c r="B627" t="s">
        <v>2101</v>
      </c>
      <c r="C627" s="1">
        <v>42453</v>
      </c>
      <c r="D627" s="1">
        <v>42459</v>
      </c>
      <c r="E627" t="s">
        <v>19</v>
      </c>
      <c r="F627" t="s">
        <v>1370</v>
      </c>
      <c r="G627" t="s">
        <v>319</v>
      </c>
      <c r="H627" t="s">
        <v>39</v>
      </c>
      <c r="I627" t="s">
        <v>918</v>
      </c>
      <c r="J627" t="s">
        <v>911</v>
      </c>
      <c r="K627" t="s">
        <v>903</v>
      </c>
      <c r="M627" t="s">
        <v>2991</v>
      </c>
      <c r="N627" t="s">
        <v>946</v>
      </c>
      <c r="O627" t="s">
        <v>2817</v>
      </c>
      <c r="P627" t="s">
        <v>22</v>
      </c>
      <c r="Q627" t="s">
        <v>69</v>
      </c>
      <c r="R627" t="s">
        <v>771</v>
      </c>
      <c r="S627">
        <v>17.143500000000003</v>
      </c>
      <c r="T627">
        <v>1</v>
      </c>
      <c r="U627">
        <v>0.45</v>
      </c>
      <c r="V627">
        <v>-7.1865000000000006</v>
      </c>
      <c r="W627" s="3">
        <v>1.36</v>
      </c>
      <c r="X627" t="s">
        <v>933</v>
      </c>
    </row>
    <row r="628" spans="1:24" x14ac:dyDescent="0.25">
      <c r="A628">
        <v>29832</v>
      </c>
      <c r="B628" t="s">
        <v>2400</v>
      </c>
      <c r="C628" s="1">
        <v>42433</v>
      </c>
      <c r="D628" s="1">
        <v>42439</v>
      </c>
      <c r="E628" t="s">
        <v>19</v>
      </c>
      <c r="F628" t="s">
        <v>1053</v>
      </c>
      <c r="G628" t="s">
        <v>451</v>
      </c>
      <c r="H628" t="s">
        <v>20</v>
      </c>
      <c r="I628" t="s">
        <v>906</v>
      </c>
      <c r="J628" t="s">
        <v>902</v>
      </c>
      <c r="K628" t="s">
        <v>903</v>
      </c>
      <c r="M628" t="s">
        <v>2991</v>
      </c>
      <c r="N628" t="s">
        <v>946</v>
      </c>
      <c r="O628" t="s">
        <v>1532</v>
      </c>
      <c r="P628" t="s">
        <v>22</v>
      </c>
      <c r="Q628" t="s">
        <v>942</v>
      </c>
      <c r="R628" t="s">
        <v>450</v>
      </c>
      <c r="S628">
        <v>17.0595</v>
      </c>
      <c r="T628">
        <v>3</v>
      </c>
      <c r="U628">
        <v>0.15000000000000002</v>
      </c>
      <c r="V628">
        <v>0.76949999999999985</v>
      </c>
      <c r="W628" s="3">
        <v>2.04</v>
      </c>
      <c r="X628" t="s">
        <v>934</v>
      </c>
    </row>
    <row r="629" spans="1:24" x14ac:dyDescent="0.25">
      <c r="A629">
        <v>21064</v>
      </c>
      <c r="B629" t="s">
        <v>1879</v>
      </c>
      <c r="C629" s="1">
        <v>42175</v>
      </c>
      <c r="D629" s="1">
        <v>42180</v>
      </c>
      <c r="E629" t="s">
        <v>43</v>
      </c>
      <c r="F629" t="s">
        <v>1077</v>
      </c>
      <c r="G629" t="s">
        <v>519</v>
      </c>
      <c r="H629" t="s">
        <v>20</v>
      </c>
      <c r="I629" t="s">
        <v>922</v>
      </c>
      <c r="J629" t="s">
        <v>923</v>
      </c>
      <c r="K629" t="s">
        <v>903</v>
      </c>
      <c r="M629" t="s">
        <v>2991</v>
      </c>
      <c r="N629" t="s">
        <v>946</v>
      </c>
      <c r="O629" t="s">
        <v>2662</v>
      </c>
      <c r="P629" t="s">
        <v>22</v>
      </c>
      <c r="Q629" t="s">
        <v>23</v>
      </c>
      <c r="R629" t="s">
        <v>640</v>
      </c>
      <c r="S629">
        <v>16.780500000000004</v>
      </c>
      <c r="T629">
        <v>3</v>
      </c>
      <c r="U629">
        <v>0.45</v>
      </c>
      <c r="V629">
        <v>-4.009500000000001</v>
      </c>
      <c r="W629" s="3">
        <v>0.51</v>
      </c>
      <c r="X629" t="s">
        <v>933</v>
      </c>
    </row>
    <row r="630" spans="1:24" x14ac:dyDescent="0.25">
      <c r="A630">
        <v>30258</v>
      </c>
      <c r="B630" t="s">
        <v>2431</v>
      </c>
      <c r="C630" s="1">
        <v>41775</v>
      </c>
      <c r="D630" s="1">
        <v>41780</v>
      </c>
      <c r="E630" t="s">
        <v>19</v>
      </c>
      <c r="F630" t="s">
        <v>1154</v>
      </c>
      <c r="G630" t="s">
        <v>155</v>
      </c>
      <c r="H630" t="s">
        <v>37</v>
      </c>
      <c r="I630" t="s">
        <v>906</v>
      </c>
      <c r="J630" t="s">
        <v>902</v>
      </c>
      <c r="K630" t="s">
        <v>903</v>
      </c>
      <c r="M630" t="s">
        <v>2991</v>
      </c>
      <c r="N630" t="s">
        <v>946</v>
      </c>
      <c r="O630" t="s">
        <v>1839</v>
      </c>
      <c r="P630" t="s">
        <v>22</v>
      </c>
      <c r="Q630" t="s">
        <v>69</v>
      </c>
      <c r="R630" t="s">
        <v>217</v>
      </c>
      <c r="S630">
        <v>16.335000000000004</v>
      </c>
      <c r="T630">
        <v>1</v>
      </c>
      <c r="U630">
        <v>0.45</v>
      </c>
      <c r="V630">
        <v>-6.5550000000000015</v>
      </c>
      <c r="W630" s="3">
        <v>1.38</v>
      </c>
      <c r="X630" t="s">
        <v>933</v>
      </c>
    </row>
    <row r="631" spans="1:24" x14ac:dyDescent="0.25">
      <c r="A631">
        <v>28861</v>
      </c>
      <c r="B631" t="s">
        <v>2346</v>
      </c>
      <c r="C631" s="1">
        <v>42594</v>
      </c>
      <c r="D631" s="1">
        <v>42598</v>
      </c>
      <c r="E631" t="s">
        <v>19</v>
      </c>
      <c r="F631" t="s">
        <v>1093</v>
      </c>
      <c r="G631" t="s">
        <v>860</v>
      </c>
      <c r="H631" t="s">
        <v>20</v>
      </c>
      <c r="I631" t="s">
        <v>901</v>
      </c>
      <c r="J631" t="s">
        <v>902</v>
      </c>
      <c r="K631" t="s">
        <v>903</v>
      </c>
      <c r="M631" t="s">
        <v>2991</v>
      </c>
      <c r="N631" t="s">
        <v>946</v>
      </c>
      <c r="O631" t="s">
        <v>2521</v>
      </c>
      <c r="P631" t="s">
        <v>22</v>
      </c>
      <c r="Q631" t="s">
        <v>942</v>
      </c>
      <c r="R631" t="s">
        <v>113</v>
      </c>
      <c r="S631">
        <v>16.141500000000001</v>
      </c>
      <c r="T631">
        <v>3</v>
      </c>
      <c r="U631">
        <v>0.15000000000000002</v>
      </c>
      <c r="V631">
        <v>6.2414999999999994</v>
      </c>
      <c r="W631" s="3">
        <v>1.22</v>
      </c>
      <c r="X631" t="s">
        <v>933</v>
      </c>
    </row>
    <row r="632" spans="1:24" x14ac:dyDescent="0.25">
      <c r="A632">
        <v>25285</v>
      </c>
      <c r="B632" t="s">
        <v>2126</v>
      </c>
      <c r="C632" s="1">
        <v>41617</v>
      </c>
      <c r="D632" s="1">
        <v>41621</v>
      </c>
      <c r="E632" t="s">
        <v>19</v>
      </c>
      <c r="F632" t="s">
        <v>1031</v>
      </c>
      <c r="G632" t="s">
        <v>345</v>
      </c>
      <c r="H632" t="s">
        <v>20</v>
      </c>
      <c r="I632" t="s">
        <v>906</v>
      </c>
      <c r="J632" t="s">
        <v>902</v>
      </c>
      <c r="K632" t="s">
        <v>903</v>
      </c>
      <c r="M632" t="s">
        <v>2991</v>
      </c>
      <c r="N632" t="s">
        <v>946</v>
      </c>
      <c r="O632" t="s">
        <v>2595</v>
      </c>
      <c r="P632" t="s">
        <v>22</v>
      </c>
      <c r="Q632" t="s">
        <v>940</v>
      </c>
      <c r="R632" t="s">
        <v>806</v>
      </c>
      <c r="S632">
        <v>15.873000000000001</v>
      </c>
      <c r="T632">
        <v>2</v>
      </c>
      <c r="U632">
        <v>0.45</v>
      </c>
      <c r="V632">
        <v>-8.6669999999999998</v>
      </c>
      <c r="W632" s="3">
        <v>0.86</v>
      </c>
      <c r="X632" t="s">
        <v>933</v>
      </c>
    </row>
    <row r="633" spans="1:24" x14ac:dyDescent="0.25">
      <c r="A633">
        <v>20658</v>
      </c>
      <c r="B633" t="s">
        <v>1861</v>
      </c>
      <c r="C633" s="1">
        <v>42355</v>
      </c>
      <c r="D633" s="1">
        <v>42360</v>
      </c>
      <c r="E633" t="s">
        <v>43</v>
      </c>
      <c r="F633" t="s">
        <v>1046</v>
      </c>
      <c r="G633" t="s">
        <v>887</v>
      </c>
      <c r="H633" t="s">
        <v>20</v>
      </c>
      <c r="I633" t="s">
        <v>906</v>
      </c>
      <c r="J633" t="s">
        <v>902</v>
      </c>
      <c r="K633" t="s">
        <v>903</v>
      </c>
      <c r="M633" t="s">
        <v>2991</v>
      </c>
      <c r="N633" t="s">
        <v>946</v>
      </c>
      <c r="O633" t="s">
        <v>2568</v>
      </c>
      <c r="P633" t="s">
        <v>22</v>
      </c>
      <c r="Q633" t="s">
        <v>941</v>
      </c>
      <c r="R633" t="s">
        <v>316</v>
      </c>
      <c r="S633">
        <v>15.378000000000002</v>
      </c>
      <c r="T633">
        <v>2</v>
      </c>
      <c r="U633">
        <v>0.45</v>
      </c>
      <c r="V633">
        <v>1.3979999999999997</v>
      </c>
      <c r="W633" s="3">
        <v>1.1499999999999999</v>
      </c>
      <c r="X633" t="s">
        <v>933</v>
      </c>
    </row>
    <row r="634" spans="1:24" x14ac:dyDescent="0.25">
      <c r="A634">
        <v>29010</v>
      </c>
      <c r="B634" t="s">
        <v>2354</v>
      </c>
      <c r="C634" s="1">
        <v>42714</v>
      </c>
      <c r="D634" s="1">
        <v>42718</v>
      </c>
      <c r="E634" t="s">
        <v>19</v>
      </c>
      <c r="F634" t="s">
        <v>1170</v>
      </c>
      <c r="G634" t="s">
        <v>697</v>
      </c>
      <c r="H634" t="s">
        <v>37</v>
      </c>
      <c r="I634" t="s">
        <v>906</v>
      </c>
      <c r="J634" t="s">
        <v>902</v>
      </c>
      <c r="K634" t="s">
        <v>903</v>
      </c>
      <c r="M634" t="s">
        <v>2991</v>
      </c>
      <c r="N634" t="s">
        <v>946</v>
      </c>
      <c r="O634" t="s">
        <v>2745</v>
      </c>
      <c r="P634" t="s">
        <v>22</v>
      </c>
      <c r="Q634" t="s">
        <v>69</v>
      </c>
      <c r="R634" t="s">
        <v>609</v>
      </c>
      <c r="S634">
        <v>15.114000000000001</v>
      </c>
      <c r="T634">
        <v>2</v>
      </c>
      <c r="U634">
        <v>0.45</v>
      </c>
      <c r="V634">
        <v>-6.0000000000002274E-3</v>
      </c>
      <c r="W634" s="3">
        <v>1.06</v>
      </c>
      <c r="X634" t="s">
        <v>933</v>
      </c>
    </row>
    <row r="635" spans="1:24" x14ac:dyDescent="0.25">
      <c r="A635">
        <v>21063</v>
      </c>
      <c r="B635" t="s">
        <v>1879</v>
      </c>
      <c r="C635" s="1">
        <v>42175</v>
      </c>
      <c r="D635" s="1">
        <v>42180</v>
      </c>
      <c r="E635" t="s">
        <v>43</v>
      </c>
      <c r="F635" t="s">
        <v>1077</v>
      </c>
      <c r="G635" t="s">
        <v>519</v>
      </c>
      <c r="H635" t="s">
        <v>20</v>
      </c>
      <c r="I635" t="s">
        <v>922</v>
      </c>
      <c r="J635" t="s">
        <v>923</v>
      </c>
      <c r="K635" t="s">
        <v>903</v>
      </c>
      <c r="M635" t="s">
        <v>2991</v>
      </c>
      <c r="N635" t="s">
        <v>946</v>
      </c>
      <c r="O635" t="s">
        <v>2661</v>
      </c>
      <c r="P635" t="s">
        <v>22</v>
      </c>
      <c r="Q635" t="s">
        <v>23</v>
      </c>
      <c r="R635" t="s">
        <v>785</v>
      </c>
      <c r="S635">
        <v>15.048000000000002</v>
      </c>
      <c r="T635">
        <v>3</v>
      </c>
      <c r="U635">
        <v>0.45</v>
      </c>
      <c r="V635">
        <v>-1.1520000000000028</v>
      </c>
      <c r="W635" s="3">
        <v>1.62</v>
      </c>
      <c r="X635" t="s">
        <v>933</v>
      </c>
    </row>
    <row r="636" spans="1:24" x14ac:dyDescent="0.25">
      <c r="A636">
        <v>21679</v>
      </c>
      <c r="B636" t="s">
        <v>1912</v>
      </c>
      <c r="C636" s="1">
        <v>42299</v>
      </c>
      <c r="D636" s="1">
        <v>42305</v>
      </c>
      <c r="E636" t="s">
        <v>19</v>
      </c>
      <c r="F636" t="s">
        <v>978</v>
      </c>
      <c r="G636" t="s">
        <v>496</v>
      </c>
      <c r="H636" t="s">
        <v>37</v>
      </c>
      <c r="I636" t="s">
        <v>906</v>
      </c>
      <c r="J636" t="s">
        <v>902</v>
      </c>
      <c r="K636" t="s">
        <v>903</v>
      </c>
      <c r="M636" t="s">
        <v>2991</v>
      </c>
      <c r="N636" t="s">
        <v>946</v>
      </c>
      <c r="O636" t="s">
        <v>2754</v>
      </c>
      <c r="P636" t="s">
        <v>22</v>
      </c>
      <c r="Q636" t="s">
        <v>23</v>
      </c>
      <c r="R636" t="s">
        <v>457</v>
      </c>
      <c r="S636">
        <v>14.784000000000002</v>
      </c>
      <c r="T636">
        <v>4</v>
      </c>
      <c r="U636">
        <v>0.45</v>
      </c>
      <c r="V636">
        <v>-10.536000000000001</v>
      </c>
      <c r="W636" s="3">
        <v>0.9</v>
      </c>
      <c r="X636" t="s">
        <v>933</v>
      </c>
    </row>
    <row r="637" spans="1:24" x14ac:dyDescent="0.25">
      <c r="A637">
        <v>21234</v>
      </c>
      <c r="B637" t="s">
        <v>1891</v>
      </c>
      <c r="C637" s="1">
        <v>41573</v>
      </c>
      <c r="D637" s="1">
        <v>41579</v>
      </c>
      <c r="E637" t="s">
        <v>19</v>
      </c>
      <c r="F637" t="s">
        <v>1113</v>
      </c>
      <c r="G637" t="s">
        <v>548</v>
      </c>
      <c r="H637" t="s">
        <v>39</v>
      </c>
      <c r="I637" t="s">
        <v>906</v>
      </c>
      <c r="J637" t="s">
        <v>902</v>
      </c>
      <c r="K637" t="s">
        <v>903</v>
      </c>
      <c r="M637" t="s">
        <v>2991</v>
      </c>
      <c r="N637" t="s">
        <v>946</v>
      </c>
      <c r="O637" t="s">
        <v>2485</v>
      </c>
      <c r="P637" t="s">
        <v>22</v>
      </c>
      <c r="Q637" t="s">
        <v>69</v>
      </c>
      <c r="R637" t="s">
        <v>293</v>
      </c>
      <c r="S637">
        <v>14.784000000000002</v>
      </c>
      <c r="T637">
        <v>2</v>
      </c>
      <c r="U637">
        <v>0.45</v>
      </c>
      <c r="V637">
        <v>-2.1960000000000033</v>
      </c>
      <c r="W637" s="3">
        <v>0.25</v>
      </c>
      <c r="X637" t="s">
        <v>933</v>
      </c>
    </row>
    <row r="638" spans="1:24" x14ac:dyDescent="0.25">
      <c r="A638">
        <v>25842</v>
      </c>
      <c r="B638" t="s">
        <v>2160</v>
      </c>
      <c r="C638" s="1">
        <v>42244</v>
      </c>
      <c r="D638" s="1">
        <v>42251</v>
      </c>
      <c r="E638" t="s">
        <v>19</v>
      </c>
      <c r="F638" t="s">
        <v>1136</v>
      </c>
      <c r="G638" t="s">
        <v>661</v>
      </c>
      <c r="H638" t="s">
        <v>39</v>
      </c>
      <c r="I638" t="s">
        <v>907</v>
      </c>
      <c r="J638" t="s">
        <v>902</v>
      </c>
      <c r="K638" t="s">
        <v>903</v>
      </c>
      <c r="M638" t="s">
        <v>2991</v>
      </c>
      <c r="N638" t="s">
        <v>946</v>
      </c>
      <c r="O638" t="s">
        <v>2644</v>
      </c>
      <c r="P638" t="s">
        <v>22</v>
      </c>
      <c r="Q638" t="s">
        <v>942</v>
      </c>
      <c r="R638" t="s">
        <v>252</v>
      </c>
      <c r="S638">
        <v>14.433</v>
      </c>
      <c r="T638">
        <v>2</v>
      </c>
      <c r="U638">
        <v>0.15000000000000002</v>
      </c>
      <c r="V638">
        <v>0.81299999999999972</v>
      </c>
      <c r="W638" s="3">
        <v>1.86</v>
      </c>
      <c r="X638" t="s">
        <v>934</v>
      </c>
    </row>
    <row r="639" spans="1:24" x14ac:dyDescent="0.25">
      <c r="A639">
        <v>27475</v>
      </c>
      <c r="B639" t="s">
        <v>2274</v>
      </c>
      <c r="C639" s="1">
        <v>42535</v>
      </c>
      <c r="D639" s="1">
        <v>42540</v>
      </c>
      <c r="E639" t="s">
        <v>19</v>
      </c>
      <c r="F639" t="s">
        <v>1508</v>
      </c>
      <c r="G639" t="s">
        <v>630</v>
      </c>
      <c r="H639" t="s">
        <v>20</v>
      </c>
      <c r="I639" t="s">
        <v>901</v>
      </c>
      <c r="J639" t="s">
        <v>902</v>
      </c>
      <c r="K639" t="s">
        <v>903</v>
      </c>
      <c r="M639" t="s">
        <v>2991</v>
      </c>
      <c r="N639" t="s">
        <v>946</v>
      </c>
      <c r="O639" t="s">
        <v>1821</v>
      </c>
      <c r="P639" t="s">
        <v>22</v>
      </c>
      <c r="Q639" t="s">
        <v>23</v>
      </c>
      <c r="R639" t="s">
        <v>24</v>
      </c>
      <c r="S639">
        <v>14.388</v>
      </c>
      <c r="T639">
        <v>4</v>
      </c>
      <c r="U639">
        <v>0.45</v>
      </c>
      <c r="V639">
        <v>-4.4519999999999982</v>
      </c>
      <c r="W639" s="3">
        <v>0.53</v>
      </c>
      <c r="X639" t="s">
        <v>931</v>
      </c>
    </row>
    <row r="640" spans="1:24" x14ac:dyDescent="0.25">
      <c r="A640">
        <v>29948</v>
      </c>
      <c r="B640" t="s">
        <v>2411</v>
      </c>
      <c r="C640" s="1">
        <v>42380</v>
      </c>
      <c r="D640" s="1">
        <v>42385</v>
      </c>
      <c r="E640" t="s">
        <v>19</v>
      </c>
      <c r="F640" t="s">
        <v>966</v>
      </c>
      <c r="G640" t="s">
        <v>346</v>
      </c>
      <c r="H640" t="s">
        <v>20</v>
      </c>
      <c r="I640" t="s">
        <v>906</v>
      </c>
      <c r="J640" t="s">
        <v>902</v>
      </c>
      <c r="K640" t="s">
        <v>903</v>
      </c>
      <c r="M640" t="s">
        <v>2991</v>
      </c>
      <c r="N640" t="s">
        <v>946</v>
      </c>
      <c r="O640" t="s">
        <v>2922</v>
      </c>
      <c r="P640" t="s">
        <v>22</v>
      </c>
      <c r="Q640" t="s">
        <v>23</v>
      </c>
      <c r="R640" t="s">
        <v>526</v>
      </c>
      <c r="S640">
        <v>14.355</v>
      </c>
      <c r="T640">
        <v>2</v>
      </c>
      <c r="U640">
        <v>0.45</v>
      </c>
      <c r="V640">
        <v>-10.484999999999999</v>
      </c>
      <c r="W640" s="3">
        <v>2.38</v>
      </c>
      <c r="X640" t="s">
        <v>931</v>
      </c>
    </row>
    <row r="641" spans="1:24" x14ac:dyDescent="0.25">
      <c r="A641">
        <v>23886</v>
      </c>
      <c r="B641" t="s">
        <v>2053</v>
      </c>
      <c r="C641" s="1">
        <v>42424</v>
      </c>
      <c r="D641" s="1">
        <v>42428</v>
      </c>
      <c r="E641" t="s">
        <v>19</v>
      </c>
      <c r="F641" t="s">
        <v>971</v>
      </c>
      <c r="G641" t="s">
        <v>726</v>
      </c>
      <c r="H641" t="s">
        <v>37</v>
      </c>
      <c r="I641" t="s">
        <v>916</v>
      </c>
      <c r="J641" t="s">
        <v>911</v>
      </c>
      <c r="K641" t="s">
        <v>903</v>
      </c>
      <c r="M641" t="s">
        <v>2991</v>
      </c>
      <c r="N641" t="s">
        <v>946</v>
      </c>
      <c r="O641" t="s">
        <v>2922</v>
      </c>
      <c r="P641" t="s">
        <v>22</v>
      </c>
      <c r="Q641" t="s">
        <v>23</v>
      </c>
      <c r="R641" t="s">
        <v>526</v>
      </c>
      <c r="S641">
        <v>14.355</v>
      </c>
      <c r="T641">
        <v>2</v>
      </c>
      <c r="U641">
        <v>0.45</v>
      </c>
      <c r="V641">
        <v>-10.484999999999999</v>
      </c>
      <c r="W641" s="3">
        <v>1</v>
      </c>
      <c r="X641" t="s">
        <v>931</v>
      </c>
    </row>
    <row r="642" spans="1:24" x14ac:dyDescent="0.25">
      <c r="A642">
        <v>23167</v>
      </c>
      <c r="B642" t="s">
        <v>2011</v>
      </c>
      <c r="C642" s="1">
        <v>42320</v>
      </c>
      <c r="D642" s="1">
        <v>42324</v>
      </c>
      <c r="E642" t="s">
        <v>19</v>
      </c>
      <c r="F642" t="s">
        <v>1042</v>
      </c>
      <c r="G642" t="s">
        <v>554</v>
      </c>
      <c r="H642" t="s">
        <v>20</v>
      </c>
      <c r="I642" t="s">
        <v>906</v>
      </c>
      <c r="J642" t="s">
        <v>902</v>
      </c>
      <c r="K642" t="s">
        <v>903</v>
      </c>
      <c r="M642" t="s">
        <v>2991</v>
      </c>
      <c r="N642" t="s">
        <v>946</v>
      </c>
      <c r="O642" t="s">
        <v>2801</v>
      </c>
      <c r="P642" t="s">
        <v>22</v>
      </c>
      <c r="Q642" t="s">
        <v>942</v>
      </c>
      <c r="R642" t="s">
        <v>458</v>
      </c>
      <c r="S642">
        <v>13.872</v>
      </c>
      <c r="T642">
        <v>2</v>
      </c>
      <c r="U642">
        <v>0.15000000000000002</v>
      </c>
      <c r="V642">
        <v>1.452</v>
      </c>
      <c r="W642" s="3">
        <v>1.95</v>
      </c>
      <c r="X642" t="s">
        <v>931</v>
      </c>
    </row>
    <row r="643" spans="1:24" x14ac:dyDescent="0.25">
      <c r="A643">
        <v>24974</v>
      </c>
      <c r="B643" t="s">
        <v>2106</v>
      </c>
      <c r="C643" s="1">
        <v>41561</v>
      </c>
      <c r="D643" s="1">
        <v>41566</v>
      </c>
      <c r="E643" t="s">
        <v>19</v>
      </c>
      <c r="F643" t="s">
        <v>1233</v>
      </c>
      <c r="G643" t="s">
        <v>296</v>
      </c>
      <c r="H643" t="s">
        <v>39</v>
      </c>
      <c r="I643" t="s">
        <v>906</v>
      </c>
      <c r="J643" t="s">
        <v>902</v>
      </c>
      <c r="K643" t="s">
        <v>903</v>
      </c>
      <c r="M643" t="s">
        <v>2991</v>
      </c>
      <c r="N643" t="s">
        <v>946</v>
      </c>
      <c r="O643" t="s">
        <v>2519</v>
      </c>
      <c r="P643" t="s">
        <v>22</v>
      </c>
      <c r="Q643" t="s">
        <v>940</v>
      </c>
      <c r="R643" t="s">
        <v>63</v>
      </c>
      <c r="S643">
        <v>13.794000000000004</v>
      </c>
      <c r="T643">
        <v>1</v>
      </c>
      <c r="U643">
        <v>0.45</v>
      </c>
      <c r="V643">
        <v>-3.0360000000000031</v>
      </c>
      <c r="W643" s="3">
        <v>1.21</v>
      </c>
      <c r="X643" t="s">
        <v>933</v>
      </c>
    </row>
    <row r="644" spans="1:24" x14ac:dyDescent="0.25">
      <c r="A644">
        <v>28595</v>
      </c>
      <c r="B644" t="s">
        <v>2333</v>
      </c>
      <c r="C644" s="1">
        <v>42666</v>
      </c>
      <c r="D644" s="1">
        <v>42671</v>
      </c>
      <c r="E644" t="s">
        <v>19</v>
      </c>
      <c r="F644" t="s">
        <v>1415</v>
      </c>
      <c r="G644" t="s">
        <v>413</v>
      </c>
      <c r="H644" t="s">
        <v>39</v>
      </c>
      <c r="I644" t="s">
        <v>909</v>
      </c>
      <c r="J644" t="s">
        <v>902</v>
      </c>
      <c r="K644" t="s">
        <v>903</v>
      </c>
      <c r="M644" t="s">
        <v>2991</v>
      </c>
      <c r="N644" t="s">
        <v>946</v>
      </c>
      <c r="O644" t="s">
        <v>2915</v>
      </c>
      <c r="P644" t="s">
        <v>22</v>
      </c>
      <c r="Q644" t="s">
        <v>23</v>
      </c>
      <c r="R644" t="s">
        <v>812</v>
      </c>
      <c r="S644">
        <v>12.936</v>
      </c>
      <c r="T644">
        <v>2</v>
      </c>
      <c r="U644">
        <v>0.45</v>
      </c>
      <c r="V644">
        <v>-5.9039999999999999</v>
      </c>
      <c r="W644" s="3">
        <v>1.05</v>
      </c>
      <c r="X644" t="s">
        <v>933</v>
      </c>
    </row>
    <row r="645" spans="1:24" x14ac:dyDescent="0.25">
      <c r="A645">
        <v>20657</v>
      </c>
      <c r="B645" t="s">
        <v>1861</v>
      </c>
      <c r="C645" s="1">
        <v>42355</v>
      </c>
      <c r="D645" s="1">
        <v>42360</v>
      </c>
      <c r="E645" t="s">
        <v>43</v>
      </c>
      <c r="F645" t="s">
        <v>1046</v>
      </c>
      <c r="G645" t="s">
        <v>887</v>
      </c>
      <c r="H645" t="s">
        <v>20</v>
      </c>
      <c r="I645" t="s">
        <v>906</v>
      </c>
      <c r="J645" t="s">
        <v>902</v>
      </c>
      <c r="K645" t="s">
        <v>903</v>
      </c>
      <c r="M645" t="s">
        <v>2991</v>
      </c>
      <c r="N645" t="s">
        <v>946</v>
      </c>
      <c r="O645" t="s">
        <v>2567</v>
      </c>
      <c r="P645" t="s">
        <v>22</v>
      </c>
      <c r="Q645" t="s">
        <v>23</v>
      </c>
      <c r="R645" t="s">
        <v>409</v>
      </c>
      <c r="S645">
        <v>12.474</v>
      </c>
      <c r="T645">
        <v>2</v>
      </c>
      <c r="U645">
        <v>0.45</v>
      </c>
      <c r="V645">
        <v>-5.226</v>
      </c>
      <c r="W645" s="3">
        <v>0.84</v>
      </c>
      <c r="X645" t="s">
        <v>933</v>
      </c>
    </row>
    <row r="646" spans="1:24" x14ac:dyDescent="0.25">
      <c r="A646">
        <v>24328</v>
      </c>
      <c r="B646" t="s">
        <v>2073</v>
      </c>
      <c r="C646" s="1">
        <v>41492</v>
      </c>
      <c r="D646" s="1">
        <v>41496</v>
      </c>
      <c r="E646" t="s">
        <v>19</v>
      </c>
      <c r="F646" t="s">
        <v>1185</v>
      </c>
      <c r="G646" t="s">
        <v>291</v>
      </c>
      <c r="H646" t="s">
        <v>20</v>
      </c>
      <c r="I646" t="s">
        <v>906</v>
      </c>
      <c r="J646" t="s">
        <v>902</v>
      </c>
      <c r="K646" t="s">
        <v>903</v>
      </c>
      <c r="M646" t="s">
        <v>2991</v>
      </c>
      <c r="N646" t="s">
        <v>946</v>
      </c>
      <c r="O646" t="s">
        <v>2897</v>
      </c>
      <c r="P646" t="s">
        <v>22</v>
      </c>
      <c r="Q646" t="s">
        <v>942</v>
      </c>
      <c r="R646" t="s">
        <v>687</v>
      </c>
      <c r="S646">
        <v>12.239999999999998</v>
      </c>
      <c r="T646">
        <v>1</v>
      </c>
      <c r="U646">
        <v>0.15000000000000002</v>
      </c>
      <c r="V646">
        <v>-1.1700000000000002</v>
      </c>
      <c r="W646" s="3">
        <v>0.74</v>
      </c>
      <c r="X646" t="s">
        <v>933</v>
      </c>
    </row>
    <row r="647" spans="1:24" x14ac:dyDescent="0.25">
      <c r="A647">
        <v>29398</v>
      </c>
      <c r="B647" t="s">
        <v>2376</v>
      </c>
      <c r="C647" s="1">
        <v>41344</v>
      </c>
      <c r="D647" s="1">
        <v>41346</v>
      </c>
      <c r="E647" t="s">
        <v>43</v>
      </c>
      <c r="F647" t="s">
        <v>1125</v>
      </c>
      <c r="G647" t="s">
        <v>783</v>
      </c>
      <c r="H647" t="s">
        <v>20</v>
      </c>
      <c r="I647" t="s">
        <v>906</v>
      </c>
      <c r="J647" t="s">
        <v>902</v>
      </c>
      <c r="K647" t="s">
        <v>903</v>
      </c>
      <c r="M647" t="s">
        <v>2991</v>
      </c>
      <c r="N647" t="s">
        <v>946</v>
      </c>
      <c r="O647" t="s">
        <v>2834</v>
      </c>
      <c r="P647" t="s">
        <v>22</v>
      </c>
      <c r="Q647" t="s">
        <v>23</v>
      </c>
      <c r="R647" t="s">
        <v>154</v>
      </c>
      <c r="S647">
        <v>12.21</v>
      </c>
      <c r="T647">
        <v>2</v>
      </c>
      <c r="U647">
        <v>0.45</v>
      </c>
      <c r="V647">
        <v>-0.44999999999999929</v>
      </c>
      <c r="W647" s="3">
        <v>1.93</v>
      </c>
      <c r="X647" t="s">
        <v>932</v>
      </c>
    </row>
    <row r="648" spans="1:24" x14ac:dyDescent="0.25">
      <c r="A648">
        <v>27223</v>
      </c>
      <c r="B648" t="s">
        <v>2254</v>
      </c>
      <c r="C648" s="1">
        <v>42577</v>
      </c>
      <c r="D648" s="1">
        <v>42581</v>
      </c>
      <c r="E648" t="s">
        <v>43</v>
      </c>
      <c r="F648" t="s">
        <v>1244</v>
      </c>
      <c r="G648" t="s">
        <v>802</v>
      </c>
      <c r="H648" t="s">
        <v>39</v>
      </c>
      <c r="I648" t="s">
        <v>922</v>
      </c>
      <c r="J648" t="s">
        <v>923</v>
      </c>
      <c r="K648" t="s">
        <v>903</v>
      </c>
      <c r="M648" t="s">
        <v>2991</v>
      </c>
      <c r="N648" t="s">
        <v>946</v>
      </c>
      <c r="O648" t="s">
        <v>2484</v>
      </c>
      <c r="P648" t="s">
        <v>22</v>
      </c>
      <c r="Q648" t="s">
        <v>23</v>
      </c>
      <c r="R648" t="s">
        <v>367</v>
      </c>
      <c r="S648">
        <v>12.045</v>
      </c>
      <c r="T648">
        <v>2</v>
      </c>
      <c r="U648">
        <v>0.45</v>
      </c>
      <c r="V648">
        <v>-3.5549999999999997</v>
      </c>
      <c r="W648" s="3">
        <v>0.18</v>
      </c>
      <c r="X648" t="s">
        <v>933</v>
      </c>
    </row>
    <row r="649" spans="1:24" x14ac:dyDescent="0.25">
      <c r="A649">
        <v>27032</v>
      </c>
      <c r="B649" t="s">
        <v>2236</v>
      </c>
      <c r="C649" s="1">
        <v>41780</v>
      </c>
      <c r="D649" s="1">
        <v>41784</v>
      </c>
      <c r="E649" t="s">
        <v>43</v>
      </c>
      <c r="F649" t="s">
        <v>1112</v>
      </c>
      <c r="G649" t="s">
        <v>575</v>
      </c>
      <c r="H649" t="s">
        <v>39</v>
      </c>
      <c r="I649" t="s">
        <v>906</v>
      </c>
      <c r="J649" t="s">
        <v>902</v>
      </c>
      <c r="K649" t="s">
        <v>903</v>
      </c>
      <c r="M649" t="s">
        <v>2991</v>
      </c>
      <c r="N649" t="s">
        <v>946</v>
      </c>
      <c r="O649" t="s">
        <v>2783</v>
      </c>
      <c r="P649" t="s">
        <v>22</v>
      </c>
      <c r="Q649" t="s">
        <v>23</v>
      </c>
      <c r="R649" t="s">
        <v>288</v>
      </c>
      <c r="S649">
        <v>11.979000000000001</v>
      </c>
      <c r="T649">
        <v>2</v>
      </c>
      <c r="U649">
        <v>0.45</v>
      </c>
      <c r="V649">
        <v>1.0589999999999993</v>
      </c>
      <c r="W649" s="3">
        <v>0.75</v>
      </c>
      <c r="X649" t="s">
        <v>933</v>
      </c>
    </row>
    <row r="650" spans="1:24" x14ac:dyDescent="0.25">
      <c r="A650">
        <v>24671</v>
      </c>
      <c r="B650" t="s">
        <v>2091</v>
      </c>
      <c r="C650" s="1">
        <v>42433</v>
      </c>
      <c r="D650" s="1">
        <v>42438</v>
      </c>
      <c r="E650" t="s">
        <v>43</v>
      </c>
      <c r="F650" t="s">
        <v>1028</v>
      </c>
      <c r="G650" t="s">
        <v>754</v>
      </c>
      <c r="H650" t="s">
        <v>37</v>
      </c>
      <c r="I650" t="s">
        <v>914</v>
      </c>
      <c r="J650" t="s">
        <v>915</v>
      </c>
      <c r="K650" t="s">
        <v>903</v>
      </c>
      <c r="M650" t="s">
        <v>2991</v>
      </c>
      <c r="N650" t="s">
        <v>946</v>
      </c>
      <c r="O650" t="s">
        <v>2639</v>
      </c>
      <c r="P650" t="s">
        <v>22</v>
      </c>
      <c r="Q650" t="s">
        <v>942</v>
      </c>
      <c r="R650" t="s">
        <v>529</v>
      </c>
      <c r="S650">
        <v>11.933999999999999</v>
      </c>
      <c r="T650">
        <v>2</v>
      </c>
      <c r="U650">
        <v>0.15000000000000002</v>
      </c>
      <c r="V650">
        <v>-1.8660000000000003</v>
      </c>
      <c r="W650" s="3">
        <v>0.89</v>
      </c>
      <c r="X650" t="s">
        <v>933</v>
      </c>
    </row>
    <row r="651" spans="1:24" x14ac:dyDescent="0.25">
      <c r="A651">
        <v>27854</v>
      </c>
      <c r="B651" t="s">
        <v>2294</v>
      </c>
      <c r="C651" s="1">
        <v>42013</v>
      </c>
      <c r="D651" s="1">
        <v>42016</v>
      </c>
      <c r="E651" t="s">
        <v>47</v>
      </c>
      <c r="F651" t="s">
        <v>1020</v>
      </c>
      <c r="G651" t="s">
        <v>763</v>
      </c>
      <c r="H651" t="s">
        <v>20</v>
      </c>
      <c r="I651" t="s">
        <v>912</v>
      </c>
      <c r="J651" t="s">
        <v>913</v>
      </c>
      <c r="K651" t="s">
        <v>903</v>
      </c>
      <c r="M651" t="s">
        <v>2991</v>
      </c>
      <c r="N651" t="s">
        <v>946</v>
      </c>
      <c r="O651" t="s">
        <v>2962</v>
      </c>
      <c r="P651" t="s">
        <v>22</v>
      </c>
      <c r="Q651" t="s">
        <v>23</v>
      </c>
      <c r="R651" t="s">
        <v>445</v>
      </c>
      <c r="S651">
        <v>11.632500000000002</v>
      </c>
      <c r="T651">
        <v>3</v>
      </c>
      <c r="U651">
        <v>0.45</v>
      </c>
      <c r="V651">
        <v>-9.5175000000000018</v>
      </c>
      <c r="W651" s="3">
        <v>1.34</v>
      </c>
      <c r="X651" t="s">
        <v>933</v>
      </c>
    </row>
    <row r="652" spans="1:24" x14ac:dyDescent="0.25">
      <c r="A652">
        <v>26606</v>
      </c>
      <c r="B652" t="s">
        <v>2210</v>
      </c>
      <c r="C652" s="1">
        <v>42520</v>
      </c>
      <c r="D652" s="1">
        <v>42525</v>
      </c>
      <c r="E652" t="s">
        <v>19</v>
      </c>
      <c r="F652" t="s">
        <v>1234</v>
      </c>
      <c r="G652" t="s">
        <v>137</v>
      </c>
      <c r="H652" t="s">
        <v>39</v>
      </c>
      <c r="I652" t="s">
        <v>906</v>
      </c>
      <c r="J652" t="s">
        <v>902</v>
      </c>
      <c r="K652" t="s">
        <v>903</v>
      </c>
      <c r="M652" t="s">
        <v>2991</v>
      </c>
      <c r="N652" t="s">
        <v>946</v>
      </c>
      <c r="O652" t="s">
        <v>2936</v>
      </c>
      <c r="P652" t="s">
        <v>22</v>
      </c>
      <c r="Q652" t="s">
        <v>942</v>
      </c>
      <c r="R652" t="s">
        <v>556</v>
      </c>
      <c r="S652">
        <v>11.628</v>
      </c>
      <c r="T652">
        <v>1</v>
      </c>
      <c r="U652">
        <v>0.15000000000000002</v>
      </c>
      <c r="V652">
        <v>2.2979999999999996</v>
      </c>
      <c r="W652" s="3">
        <v>1.38</v>
      </c>
      <c r="X652" t="s">
        <v>933</v>
      </c>
    </row>
    <row r="653" spans="1:24" x14ac:dyDescent="0.25">
      <c r="A653">
        <v>30216</v>
      </c>
      <c r="B653" t="s">
        <v>2427</v>
      </c>
      <c r="C653" s="1">
        <v>42090</v>
      </c>
      <c r="D653" s="1">
        <v>42097</v>
      </c>
      <c r="E653" t="s">
        <v>19</v>
      </c>
      <c r="F653" t="s">
        <v>1165</v>
      </c>
      <c r="G653" t="s">
        <v>221</v>
      </c>
      <c r="H653" t="s">
        <v>39</v>
      </c>
      <c r="I653" t="s">
        <v>906</v>
      </c>
      <c r="J653" t="s">
        <v>902</v>
      </c>
      <c r="K653" t="s">
        <v>903</v>
      </c>
      <c r="M653" t="s">
        <v>2991</v>
      </c>
      <c r="N653" t="s">
        <v>946</v>
      </c>
      <c r="O653" t="s">
        <v>2792</v>
      </c>
      <c r="P653" t="s">
        <v>22</v>
      </c>
      <c r="Q653" t="s">
        <v>23</v>
      </c>
      <c r="R653" t="s">
        <v>743</v>
      </c>
      <c r="S653">
        <v>11.616000000000001</v>
      </c>
      <c r="T653">
        <v>2</v>
      </c>
      <c r="U653">
        <v>0.45</v>
      </c>
      <c r="V653">
        <v>-5.304000000000002</v>
      </c>
      <c r="W653" s="3">
        <v>0.62</v>
      </c>
      <c r="X653" t="s">
        <v>933</v>
      </c>
    </row>
    <row r="654" spans="1:24" x14ac:dyDescent="0.25">
      <c r="A654">
        <v>25193</v>
      </c>
      <c r="B654" t="s">
        <v>2118</v>
      </c>
      <c r="C654" s="1">
        <v>42418</v>
      </c>
      <c r="D654" s="1">
        <v>42420</v>
      </c>
      <c r="E654" t="s">
        <v>47</v>
      </c>
      <c r="F654" t="s">
        <v>1115</v>
      </c>
      <c r="G654" t="s">
        <v>553</v>
      </c>
      <c r="H654" t="s">
        <v>20</v>
      </c>
      <c r="I654" t="s">
        <v>922</v>
      </c>
      <c r="J654" t="s">
        <v>923</v>
      </c>
      <c r="K654" t="s">
        <v>903</v>
      </c>
      <c r="M654" t="s">
        <v>2991</v>
      </c>
      <c r="N654" t="s">
        <v>946</v>
      </c>
      <c r="O654" t="s">
        <v>2690</v>
      </c>
      <c r="P654" t="s">
        <v>22</v>
      </c>
      <c r="Q654" t="s">
        <v>23</v>
      </c>
      <c r="R654" t="s">
        <v>690</v>
      </c>
      <c r="S654">
        <v>11.516999999999999</v>
      </c>
      <c r="T654">
        <v>2</v>
      </c>
      <c r="U654">
        <v>0.45</v>
      </c>
      <c r="V654">
        <v>-6.3029999999999999</v>
      </c>
      <c r="W654" s="3">
        <v>2.79</v>
      </c>
      <c r="X654" t="s">
        <v>931</v>
      </c>
    </row>
    <row r="655" spans="1:24" x14ac:dyDescent="0.25">
      <c r="A655">
        <v>29133</v>
      </c>
      <c r="B655" t="s">
        <v>2363</v>
      </c>
      <c r="C655" s="1">
        <v>42120</v>
      </c>
      <c r="D655" s="1">
        <v>42127</v>
      </c>
      <c r="E655" t="s">
        <v>19</v>
      </c>
      <c r="F655" t="s">
        <v>1268</v>
      </c>
      <c r="G655" t="s">
        <v>314</v>
      </c>
      <c r="H655" t="s">
        <v>20</v>
      </c>
      <c r="I655" t="s">
        <v>912</v>
      </c>
      <c r="J655" t="s">
        <v>913</v>
      </c>
      <c r="K655" t="s">
        <v>903</v>
      </c>
      <c r="M655" t="s">
        <v>2991</v>
      </c>
      <c r="N655" t="s">
        <v>946</v>
      </c>
      <c r="O655" t="s">
        <v>2906</v>
      </c>
      <c r="P655" t="s">
        <v>22</v>
      </c>
      <c r="Q655" t="s">
        <v>23</v>
      </c>
      <c r="R655" t="s">
        <v>714</v>
      </c>
      <c r="S655">
        <v>11.484</v>
      </c>
      <c r="T655">
        <v>3</v>
      </c>
      <c r="U655">
        <v>0.45</v>
      </c>
      <c r="V655">
        <v>-0.48599999999999888</v>
      </c>
      <c r="W655" s="3">
        <v>1.19</v>
      </c>
      <c r="X655" t="s">
        <v>934</v>
      </c>
    </row>
    <row r="656" spans="1:24" x14ac:dyDescent="0.25">
      <c r="A656">
        <v>20652</v>
      </c>
      <c r="B656" t="s">
        <v>1860</v>
      </c>
      <c r="C656" s="1">
        <v>42382</v>
      </c>
      <c r="D656" s="1">
        <v>42387</v>
      </c>
      <c r="E656" t="s">
        <v>19</v>
      </c>
      <c r="F656" t="s">
        <v>1215</v>
      </c>
      <c r="G656" t="s">
        <v>644</v>
      </c>
      <c r="H656" t="s">
        <v>20</v>
      </c>
      <c r="I656" t="s">
        <v>906</v>
      </c>
      <c r="J656" t="s">
        <v>902</v>
      </c>
      <c r="K656" t="s">
        <v>903</v>
      </c>
      <c r="M656" t="s">
        <v>2991</v>
      </c>
      <c r="N656" t="s">
        <v>946</v>
      </c>
      <c r="O656" t="s">
        <v>2564</v>
      </c>
      <c r="P656" t="s">
        <v>22</v>
      </c>
      <c r="Q656" t="s">
        <v>941</v>
      </c>
      <c r="R656" t="s">
        <v>509</v>
      </c>
      <c r="S656">
        <v>11.319000000000001</v>
      </c>
      <c r="T656">
        <v>2</v>
      </c>
      <c r="U656">
        <v>0.45</v>
      </c>
      <c r="V656">
        <v>-4.1609999999999996</v>
      </c>
      <c r="W656" s="3">
        <v>0.5</v>
      </c>
      <c r="X656" t="s">
        <v>933</v>
      </c>
    </row>
    <row r="657" spans="1:24" x14ac:dyDescent="0.25">
      <c r="A657">
        <v>23375</v>
      </c>
      <c r="B657" t="s">
        <v>2022</v>
      </c>
      <c r="C657" s="1">
        <v>42431</v>
      </c>
      <c r="D657" s="1">
        <v>42435</v>
      </c>
      <c r="E657" t="s">
        <v>19</v>
      </c>
      <c r="F657" t="s">
        <v>1060</v>
      </c>
      <c r="G657" t="s">
        <v>720</v>
      </c>
      <c r="H657" t="s">
        <v>39</v>
      </c>
      <c r="I657" t="s">
        <v>906</v>
      </c>
      <c r="J657" t="s">
        <v>902</v>
      </c>
      <c r="K657" t="s">
        <v>903</v>
      </c>
      <c r="M657" t="s">
        <v>2991</v>
      </c>
      <c r="N657" t="s">
        <v>946</v>
      </c>
      <c r="O657" t="s">
        <v>2901</v>
      </c>
      <c r="P657" t="s">
        <v>22</v>
      </c>
      <c r="Q657" t="s">
        <v>941</v>
      </c>
      <c r="R657" t="s">
        <v>132</v>
      </c>
      <c r="S657">
        <v>11.253000000000002</v>
      </c>
      <c r="T657">
        <v>2</v>
      </c>
      <c r="U657">
        <v>0.45</v>
      </c>
      <c r="V657">
        <v>-8.1870000000000012</v>
      </c>
      <c r="W657" s="3">
        <v>1.83</v>
      </c>
      <c r="X657" t="s">
        <v>931</v>
      </c>
    </row>
    <row r="658" spans="1:24" x14ac:dyDescent="0.25">
      <c r="A658">
        <v>20544</v>
      </c>
      <c r="B658" t="s">
        <v>1853</v>
      </c>
      <c r="C658" s="1">
        <v>41809</v>
      </c>
      <c r="D658" s="1">
        <v>41814</v>
      </c>
      <c r="E658" t="s">
        <v>19</v>
      </c>
      <c r="F658" t="s">
        <v>1273</v>
      </c>
      <c r="G658" t="s">
        <v>230</v>
      </c>
      <c r="H658" t="s">
        <v>37</v>
      </c>
      <c r="I658" t="s">
        <v>906</v>
      </c>
      <c r="J658" t="s">
        <v>902</v>
      </c>
      <c r="K658" t="s">
        <v>903</v>
      </c>
      <c r="M658" t="s">
        <v>2991</v>
      </c>
      <c r="N658" t="s">
        <v>946</v>
      </c>
      <c r="O658" t="s">
        <v>2536</v>
      </c>
      <c r="P658" t="s">
        <v>22</v>
      </c>
      <c r="Q658" t="s">
        <v>937</v>
      </c>
      <c r="R658" t="s">
        <v>353</v>
      </c>
      <c r="S658">
        <v>11.1045</v>
      </c>
      <c r="T658">
        <v>1</v>
      </c>
      <c r="U658">
        <v>0.45</v>
      </c>
      <c r="V658">
        <v>-6.4755000000000003</v>
      </c>
      <c r="W658" s="3">
        <v>1.34</v>
      </c>
      <c r="X658" t="s">
        <v>931</v>
      </c>
    </row>
    <row r="659" spans="1:24" x14ac:dyDescent="0.25">
      <c r="A659">
        <v>27474</v>
      </c>
      <c r="B659" t="s">
        <v>2274</v>
      </c>
      <c r="C659" s="1">
        <v>42535</v>
      </c>
      <c r="D659" s="1">
        <v>42540</v>
      </c>
      <c r="E659" t="s">
        <v>19</v>
      </c>
      <c r="F659" t="s">
        <v>1508</v>
      </c>
      <c r="G659" t="s">
        <v>630</v>
      </c>
      <c r="H659" t="s">
        <v>20</v>
      </c>
      <c r="I659" t="s">
        <v>901</v>
      </c>
      <c r="J659" t="s">
        <v>902</v>
      </c>
      <c r="K659" t="s">
        <v>903</v>
      </c>
      <c r="M659" t="s">
        <v>2991</v>
      </c>
      <c r="N659" t="s">
        <v>946</v>
      </c>
      <c r="O659" t="s">
        <v>2483</v>
      </c>
      <c r="P659" t="s">
        <v>22</v>
      </c>
      <c r="Q659" t="s">
        <v>942</v>
      </c>
      <c r="R659" t="s">
        <v>593</v>
      </c>
      <c r="S659">
        <v>10.964999999999998</v>
      </c>
      <c r="T659">
        <v>1</v>
      </c>
      <c r="U659">
        <v>0.15000000000000002</v>
      </c>
      <c r="V659">
        <v>3.3450000000000002</v>
      </c>
      <c r="W659" s="3">
        <v>1.79</v>
      </c>
      <c r="X659" t="s">
        <v>931</v>
      </c>
    </row>
    <row r="660" spans="1:24" x14ac:dyDescent="0.25">
      <c r="A660">
        <v>26785</v>
      </c>
      <c r="B660" t="s">
        <v>2222</v>
      </c>
      <c r="C660" s="1">
        <v>42484</v>
      </c>
      <c r="D660" s="1">
        <v>42489</v>
      </c>
      <c r="E660" t="s">
        <v>19</v>
      </c>
      <c r="F660" t="s">
        <v>1241</v>
      </c>
      <c r="G660" t="s">
        <v>178</v>
      </c>
      <c r="H660" t="s">
        <v>20</v>
      </c>
      <c r="I660" t="s">
        <v>906</v>
      </c>
      <c r="J660" t="s">
        <v>902</v>
      </c>
      <c r="K660" t="s">
        <v>903</v>
      </c>
      <c r="M660" t="s">
        <v>2991</v>
      </c>
      <c r="N660" t="s">
        <v>946</v>
      </c>
      <c r="O660" t="s">
        <v>2521</v>
      </c>
      <c r="P660" t="s">
        <v>22</v>
      </c>
      <c r="Q660" t="s">
        <v>942</v>
      </c>
      <c r="R660" t="s">
        <v>113</v>
      </c>
      <c r="S660">
        <v>10.760999999999999</v>
      </c>
      <c r="T660">
        <v>2</v>
      </c>
      <c r="U660">
        <v>0.15000000000000002</v>
      </c>
      <c r="V660">
        <v>4.1610000000000005</v>
      </c>
      <c r="W660" s="3">
        <v>1.0900000000000001</v>
      </c>
      <c r="X660" t="s">
        <v>933</v>
      </c>
    </row>
    <row r="661" spans="1:24" x14ac:dyDescent="0.25">
      <c r="A661">
        <v>24027</v>
      </c>
      <c r="B661" t="s">
        <v>2061</v>
      </c>
      <c r="C661" s="1">
        <v>42716</v>
      </c>
      <c r="D661" s="1">
        <v>42718</v>
      </c>
      <c r="E661" t="s">
        <v>47</v>
      </c>
      <c r="F661" t="s">
        <v>1293</v>
      </c>
      <c r="G661" t="s">
        <v>166</v>
      </c>
      <c r="H661" t="s">
        <v>37</v>
      </c>
      <c r="I661" t="s">
        <v>906</v>
      </c>
      <c r="J661" t="s">
        <v>902</v>
      </c>
      <c r="K661" t="s">
        <v>903</v>
      </c>
      <c r="M661" t="s">
        <v>2991</v>
      </c>
      <c r="N661" t="s">
        <v>946</v>
      </c>
      <c r="O661" t="s">
        <v>2563</v>
      </c>
      <c r="P661" t="s">
        <v>22</v>
      </c>
      <c r="Q661" t="s">
        <v>941</v>
      </c>
      <c r="R661" t="s">
        <v>625</v>
      </c>
      <c r="S661">
        <v>10.345500000000001</v>
      </c>
      <c r="T661">
        <v>1</v>
      </c>
      <c r="U661">
        <v>0.45</v>
      </c>
      <c r="V661">
        <v>-6.964500000000001</v>
      </c>
      <c r="W661" s="3">
        <v>2.1800000000000002</v>
      </c>
      <c r="X661" t="s">
        <v>933</v>
      </c>
    </row>
    <row r="662" spans="1:24" x14ac:dyDescent="0.25">
      <c r="A662">
        <v>23777</v>
      </c>
      <c r="B662" t="s">
        <v>2046</v>
      </c>
      <c r="C662" s="1">
        <v>42674</v>
      </c>
      <c r="D662" s="1">
        <v>42677</v>
      </c>
      <c r="E662" t="s">
        <v>43</v>
      </c>
      <c r="F662" t="s">
        <v>1360</v>
      </c>
      <c r="G662" t="s">
        <v>218</v>
      </c>
      <c r="H662" t="s">
        <v>20</v>
      </c>
      <c r="I662" t="s">
        <v>901</v>
      </c>
      <c r="J662" t="s">
        <v>902</v>
      </c>
      <c r="K662" t="s">
        <v>903</v>
      </c>
      <c r="M662" t="s">
        <v>2991</v>
      </c>
      <c r="N662" t="s">
        <v>946</v>
      </c>
      <c r="O662" t="s">
        <v>2491</v>
      </c>
      <c r="P662" t="s">
        <v>22</v>
      </c>
      <c r="Q662" t="s">
        <v>23</v>
      </c>
      <c r="R662" t="s">
        <v>684</v>
      </c>
      <c r="S662">
        <v>10.345500000000001</v>
      </c>
      <c r="T662">
        <v>3</v>
      </c>
      <c r="U662">
        <v>0.45</v>
      </c>
      <c r="V662">
        <v>0.35550000000000104</v>
      </c>
      <c r="W662" s="3">
        <v>1.07</v>
      </c>
      <c r="X662" t="s">
        <v>933</v>
      </c>
    </row>
    <row r="663" spans="1:24" x14ac:dyDescent="0.25">
      <c r="A663">
        <v>22064</v>
      </c>
      <c r="B663" t="s">
        <v>1936</v>
      </c>
      <c r="C663" s="1">
        <v>42323</v>
      </c>
      <c r="D663" s="1">
        <v>42330</v>
      </c>
      <c r="E663" t="s">
        <v>19</v>
      </c>
      <c r="F663" t="s">
        <v>1079</v>
      </c>
      <c r="G663" t="s">
        <v>738</v>
      </c>
      <c r="H663" t="s">
        <v>20</v>
      </c>
      <c r="I663" t="s">
        <v>906</v>
      </c>
      <c r="J663" t="s">
        <v>902</v>
      </c>
      <c r="K663" t="s">
        <v>903</v>
      </c>
      <c r="M663" t="s">
        <v>2991</v>
      </c>
      <c r="N663" t="s">
        <v>946</v>
      </c>
      <c r="O663" t="s">
        <v>2526</v>
      </c>
      <c r="P663" t="s">
        <v>22</v>
      </c>
      <c r="Q663" t="s">
        <v>23</v>
      </c>
      <c r="R663" t="s">
        <v>746</v>
      </c>
      <c r="S663">
        <v>10.295999999999999</v>
      </c>
      <c r="T663">
        <v>2</v>
      </c>
      <c r="U663">
        <v>0.45</v>
      </c>
      <c r="V663">
        <v>0.69600000000000151</v>
      </c>
      <c r="W663" s="3">
        <v>0.67</v>
      </c>
      <c r="X663" t="s">
        <v>933</v>
      </c>
    </row>
    <row r="664" spans="1:24" x14ac:dyDescent="0.25">
      <c r="A664">
        <v>27472</v>
      </c>
      <c r="B664" t="s">
        <v>2274</v>
      </c>
      <c r="C664" s="1">
        <v>42535</v>
      </c>
      <c r="D664" s="1">
        <v>42540</v>
      </c>
      <c r="E664" t="s">
        <v>19</v>
      </c>
      <c r="F664" t="s">
        <v>1508</v>
      </c>
      <c r="G664" t="s">
        <v>630</v>
      </c>
      <c r="H664" t="s">
        <v>20</v>
      </c>
      <c r="I664" t="s">
        <v>901</v>
      </c>
      <c r="J664" t="s">
        <v>902</v>
      </c>
      <c r="K664" t="s">
        <v>903</v>
      </c>
      <c r="M664" t="s">
        <v>2991</v>
      </c>
      <c r="N664" t="s">
        <v>946</v>
      </c>
      <c r="O664" t="s">
        <v>2797</v>
      </c>
      <c r="P664" t="s">
        <v>22</v>
      </c>
      <c r="Q664" t="s">
        <v>30</v>
      </c>
      <c r="R664" t="s">
        <v>430</v>
      </c>
      <c r="S664">
        <v>10.279500000000002</v>
      </c>
      <c r="T664">
        <v>1</v>
      </c>
      <c r="U664">
        <v>0.45</v>
      </c>
      <c r="V664">
        <v>-7.8705000000000007</v>
      </c>
      <c r="W664" s="3">
        <v>1.29</v>
      </c>
      <c r="X664" t="s">
        <v>931</v>
      </c>
    </row>
    <row r="665" spans="1:24" x14ac:dyDescent="0.25">
      <c r="A665">
        <v>23830</v>
      </c>
      <c r="B665" t="s">
        <v>2050</v>
      </c>
      <c r="C665" s="1">
        <v>41920</v>
      </c>
      <c r="D665" s="1">
        <v>41925</v>
      </c>
      <c r="E665" t="s">
        <v>19</v>
      </c>
      <c r="F665" t="s">
        <v>1004</v>
      </c>
      <c r="G665" t="s">
        <v>146</v>
      </c>
      <c r="H665" t="s">
        <v>39</v>
      </c>
      <c r="I665" t="s">
        <v>906</v>
      </c>
      <c r="J665" t="s">
        <v>902</v>
      </c>
      <c r="K665" t="s">
        <v>903</v>
      </c>
      <c r="M665" t="s">
        <v>2991</v>
      </c>
      <c r="N665" t="s">
        <v>946</v>
      </c>
      <c r="O665" t="s">
        <v>2479</v>
      </c>
      <c r="P665" t="s">
        <v>22</v>
      </c>
      <c r="Q665" t="s">
        <v>942</v>
      </c>
      <c r="R665" t="s">
        <v>34</v>
      </c>
      <c r="S665">
        <v>10.251000000000001</v>
      </c>
      <c r="T665">
        <v>2</v>
      </c>
      <c r="U665">
        <v>0.15000000000000002</v>
      </c>
      <c r="V665">
        <v>-1.4490000000000007</v>
      </c>
      <c r="W665" s="3">
        <v>0.5</v>
      </c>
      <c r="X665" t="s">
        <v>933</v>
      </c>
    </row>
    <row r="666" spans="1:24" x14ac:dyDescent="0.25">
      <c r="A666">
        <v>25005</v>
      </c>
      <c r="B666" t="s">
        <v>2110</v>
      </c>
      <c r="C666" s="1">
        <v>41819</v>
      </c>
      <c r="D666" s="1">
        <v>41826</v>
      </c>
      <c r="E666" t="s">
        <v>19</v>
      </c>
      <c r="F666" t="s">
        <v>1032</v>
      </c>
      <c r="G666" t="s">
        <v>740</v>
      </c>
      <c r="H666" t="s">
        <v>39</v>
      </c>
      <c r="I666" t="s">
        <v>901</v>
      </c>
      <c r="J666" t="s">
        <v>902</v>
      </c>
      <c r="K666" t="s">
        <v>903</v>
      </c>
      <c r="M666" t="s">
        <v>2991</v>
      </c>
      <c r="N666" t="s">
        <v>946</v>
      </c>
      <c r="O666" t="s">
        <v>2671</v>
      </c>
      <c r="P666" t="s">
        <v>22</v>
      </c>
      <c r="Q666" t="s">
        <v>30</v>
      </c>
      <c r="R666" t="s">
        <v>673</v>
      </c>
      <c r="S666">
        <v>9.9</v>
      </c>
      <c r="T666">
        <v>2</v>
      </c>
      <c r="U666">
        <v>0.45</v>
      </c>
      <c r="V666">
        <v>-7.7399999999999993</v>
      </c>
      <c r="W666" s="3">
        <v>0.56999999999999995</v>
      </c>
      <c r="X666" t="s">
        <v>933</v>
      </c>
    </row>
    <row r="667" spans="1:24" x14ac:dyDescent="0.25">
      <c r="A667">
        <v>29102</v>
      </c>
      <c r="B667" t="s">
        <v>2359</v>
      </c>
      <c r="C667" s="1">
        <v>42545</v>
      </c>
      <c r="D667" s="1">
        <v>42550</v>
      </c>
      <c r="E667" t="s">
        <v>19</v>
      </c>
      <c r="F667" t="s">
        <v>1018</v>
      </c>
      <c r="G667" t="s">
        <v>381</v>
      </c>
      <c r="H667" t="s">
        <v>39</v>
      </c>
      <c r="I667" t="s">
        <v>906</v>
      </c>
      <c r="J667" t="s">
        <v>902</v>
      </c>
      <c r="K667" t="s">
        <v>903</v>
      </c>
      <c r="M667" t="s">
        <v>2991</v>
      </c>
      <c r="N667" t="s">
        <v>946</v>
      </c>
      <c r="O667" t="s">
        <v>2448</v>
      </c>
      <c r="P667" t="s">
        <v>22</v>
      </c>
      <c r="Q667" t="s">
        <v>942</v>
      </c>
      <c r="R667" t="s">
        <v>464</v>
      </c>
      <c r="S667">
        <v>9.69</v>
      </c>
      <c r="T667">
        <v>2</v>
      </c>
      <c r="U667">
        <v>0.15000000000000002</v>
      </c>
      <c r="V667">
        <v>1.1099999999999994</v>
      </c>
      <c r="W667" s="3">
        <v>0.56999999999999995</v>
      </c>
      <c r="X667" t="s">
        <v>933</v>
      </c>
    </row>
    <row r="668" spans="1:24" x14ac:dyDescent="0.25">
      <c r="A668">
        <v>29582</v>
      </c>
      <c r="B668" t="s">
        <v>2382</v>
      </c>
      <c r="C668" s="1">
        <v>41283</v>
      </c>
      <c r="D668" s="1">
        <v>41287</v>
      </c>
      <c r="E668" t="s">
        <v>19</v>
      </c>
      <c r="F668" t="s">
        <v>1097</v>
      </c>
      <c r="G668" t="s">
        <v>49</v>
      </c>
      <c r="H668" t="s">
        <v>37</v>
      </c>
      <c r="I668" t="s">
        <v>82</v>
      </c>
      <c r="J668" t="s">
        <v>911</v>
      </c>
      <c r="K668" t="s">
        <v>903</v>
      </c>
      <c r="M668" t="s">
        <v>2991</v>
      </c>
      <c r="N668" t="s">
        <v>946</v>
      </c>
      <c r="O668" t="s">
        <v>2635</v>
      </c>
      <c r="P668" t="s">
        <v>22</v>
      </c>
      <c r="Q668" t="s">
        <v>69</v>
      </c>
      <c r="R668" t="s">
        <v>398</v>
      </c>
      <c r="S668">
        <v>9.3225000000000016</v>
      </c>
      <c r="T668">
        <v>1</v>
      </c>
      <c r="U668">
        <v>0.45</v>
      </c>
      <c r="V668">
        <v>-1.7175000000000011</v>
      </c>
      <c r="W668" s="3">
        <v>0.69</v>
      </c>
      <c r="X668" t="s">
        <v>931</v>
      </c>
    </row>
    <row r="669" spans="1:24" x14ac:dyDescent="0.25">
      <c r="A669">
        <v>25004</v>
      </c>
      <c r="B669" t="s">
        <v>2110</v>
      </c>
      <c r="C669" s="1">
        <v>41819</v>
      </c>
      <c r="D669" s="1">
        <v>41826</v>
      </c>
      <c r="E669" t="s">
        <v>19</v>
      </c>
      <c r="F669" t="s">
        <v>1032</v>
      </c>
      <c r="G669" t="s">
        <v>740</v>
      </c>
      <c r="H669" t="s">
        <v>39</v>
      </c>
      <c r="I669" t="s">
        <v>901</v>
      </c>
      <c r="J669" t="s">
        <v>902</v>
      </c>
      <c r="K669" t="s">
        <v>903</v>
      </c>
      <c r="M669" t="s">
        <v>2991</v>
      </c>
      <c r="N669" t="s">
        <v>946</v>
      </c>
      <c r="O669" t="s">
        <v>2714</v>
      </c>
      <c r="P669" t="s">
        <v>22</v>
      </c>
      <c r="Q669" t="s">
        <v>941</v>
      </c>
      <c r="R669" t="s">
        <v>861</v>
      </c>
      <c r="S669">
        <v>9.0750000000000011</v>
      </c>
      <c r="T669">
        <v>1</v>
      </c>
      <c r="U669">
        <v>0.45</v>
      </c>
      <c r="V669">
        <v>-6.9450000000000003</v>
      </c>
      <c r="W669" s="3">
        <v>0.44</v>
      </c>
      <c r="X669" t="s">
        <v>933</v>
      </c>
    </row>
    <row r="670" spans="1:24" x14ac:dyDescent="0.25">
      <c r="A670">
        <v>23024</v>
      </c>
      <c r="B670" t="s">
        <v>1997</v>
      </c>
      <c r="C670" s="1">
        <v>41439</v>
      </c>
      <c r="D670" s="1">
        <v>41444</v>
      </c>
      <c r="E670" t="s">
        <v>19</v>
      </c>
      <c r="F670" t="s">
        <v>1328</v>
      </c>
      <c r="G670" t="s">
        <v>590</v>
      </c>
      <c r="H670" t="s">
        <v>20</v>
      </c>
      <c r="I670" t="s">
        <v>906</v>
      </c>
      <c r="J670" t="s">
        <v>902</v>
      </c>
      <c r="K670" t="s">
        <v>903</v>
      </c>
      <c r="M670" t="s">
        <v>2991</v>
      </c>
      <c r="N670" t="s">
        <v>946</v>
      </c>
      <c r="O670" t="s">
        <v>2627</v>
      </c>
      <c r="P670" t="s">
        <v>22</v>
      </c>
      <c r="Q670" t="s">
        <v>940</v>
      </c>
      <c r="R670" t="s">
        <v>875</v>
      </c>
      <c r="S670">
        <v>8.4809999999999999</v>
      </c>
      <c r="T670">
        <v>1</v>
      </c>
      <c r="U670">
        <v>0.45</v>
      </c>
      <c r="V670">
        <v>-3.2489999999999992</v>
      </c>
      <c r="W670" s="3">
        <v>0.65</v>
      </c>
      <c r="X670" t="s">
        <v>933</v>
      </c>
    </row>
    <row r="671" spans="1:24" x14ac:dyDescent="0.25">
      <c r="A671">
        <v>26975</v>
      </c>
      <c r="B671" t="s">
        <v>2233</v>
      </c>
      <c r="C671" s="1">
        <v>41833</v>
      </c>
      <c r="D671" s="1">
        <v>41836</v>
      </c>
      <c r="E671" t="s">
        <v>47</v>
      </c>
      <c r="F671" t="s">
        <v>1292</v>
      </c>
      <c r="G671" t="s">
        <v>253</v>
      </c>
      <c r="H671" t="s">
        <v>37</v>
      </c>
      <c r="I671" t="s">
        <v>906</v>
      </c>
      <c r="J671" t="s">
        <v>902</v>
      </c>
      <c r="K671" t="s">
        <v>903</v>
      </c>
      <c r="M671" t="s">
        <v>2991</v>
      </c>
      <c r="N671" t="s">
        <v>946</v>
      </c>
      <c r="O671" t="s">
        <v>2914</v>
      </c>
      <c r="P671" t="s">
        <v>22</v>
      </c>
      <c r="Q671" t="s">
        <v>937</v>
      </c>
      <c r="R671" t="s">
        <v>358</v>
      </c>
      <c r="S671">
        <v>8.2335000000000012</v>
      </c>
      <c r="T671">
        <v>1</v>
      </c>
      <c r="U671">
        <v>0.45</v>
      </c>
      <c r="V671">
        <v>-5.5665000000000004</v>
      </c>
      <c r="W671" s="3">
        <v>0.38</v>
      </c>
      <c r="X671" t="s">
        <v>931</v>
      </c>
    </row>
    <row r="672" spans="1:24" x14ac:dyDescent="0.25">
      <c r="A672">
        <v>25606</v>
      </c>
      <c r="B672" t="s">
        <v>2148</v>
      </c>
      <c r="C672" s="1">
        <v>41606</v>
      </c>
      <c r="D672" s="1">
        <v>41611</v>
      </c>
      <c r="E672" t="s">
        <v>19</v>
      </c>
      <c r="F672" t="s">
        <v>1347</v>
      </c>
      <c r="G672" t="s">
        <v>100</v>
      </c>
      <c r="H672" t="s">
        <v>20</v>
      </c>
      <c r="I672" t="s">
        <v>924</v>
      </c>
      <c r="J672" t="s">
        <v>911</v>
      </c>
      <c r="K672" t="s">
        <v>903</v>
      </c>
      <c r="M672" t="s">
        <v>2991</v>
      </c>
      <c r="N672" t="s">
        <v>946</v>
      </c>
      <c r="O672" t="s">
        <v>2914</v>
      </c>
      <c r="P672" t="s">
        <v>22</v>
      </c>
      <c r="Q672" t="s">
        <v>937</v>
      </c>
      <c r="R672" t="s">
        <v>358</v>
      </c>
      <c r="S672">
        <v>8.2335000000000012</v>
      </c>
      <c r="T672">
        <v>1</v>
      </c>
      <c r="U672">
        <v>0.45</v>
      </c>
      <c r="V672">
        <v>-5.5665000000000004</v>
      </c>
      <c r="W672" s="3">
        <v>0.35</v>
      </c>
      <c r="X672" t="s">
        <v>933</v>
      </c>
    </row>
    <row r="673" spans="1:24" x14ac:dyDescent="0.25">
      <c r="A673">
        <v>21068</v>
      </c>
      <c r="B673" t="s">
        <v>1881</v>
      </c>
      <c r="C673" s="1">
        <v>42324</v>
      </c>
      <c r="D673" s="1">
        <v>42329</v>
      </c>
      <c r="E673" t="s">
        <v>19</v>
      </c>
      <c r="F673" t="s">
        <v>1299</v>
      </c>
      <c r="G673" t="s">
        <v>615</v>
      </c>
      <c r="H673" t="s">
        <v>39</v>
      </c>
      <c r="I673" t="s">
        <v>906</v>
      </c>
      <c r="J673" t="s">
        <v>902</v>
      </c>
      <c r="K673" t="s">
        <v>903</v>
      </c>
      <c r="M673" t="s">
        <v>2991</v>
      </c>
      <c r="N673" t="s">
        <v>946</v>
      </c>
      <c r="O673" t="s">
        <v>2664</v>
      </c>
      <c r="P673" t="s">
        <v>22</v>
      </c>
      <c r="Q673" t="s">
        <v>23</v>
      </c>
      <c r="R673" t="s">
        <v>688</v>
      </c>
      <c r="S673">
        <v>7.8540000000000001</v>
      </c>
      <c r="T673">
        <v>2</v>
      </c>
      <c r="U673">
        <v>0.45</v>
      </c>
      <c r="V673">
        <v>-0.60599999999999987</v>
      </c>
      <c r="W673" s="3">
        <v>0.66</v>
      </c>
      <c r="X673" t="s">
        <v>933</v>
      </c>
    </row>
    <row r="674" spans="1:24" x14ac:dyDescent="0.25">
      <c r="A674">
        <v>27095</v>
      </c>
      <c r="B674" t="s">
        <v>2240</v>
      </c>
      <c r="C674" s="1">
        <v>41864</v>
      </c>
      <c r="D674" s="1">
        <v>41867</v>
      </c>
      <c r="E674" t="s">
        <v>43</v>
      </c>
      <c r="F674" t="s">
        <v>1037</v>
      </c>
      <c r="G674" t="s">
        <v>634</v>
      </c>
      <c r="H674" t="s">
        <v>20</v>
      </c>
      <c r="I674" t="s">
        <v>906</v>
      </c>
      <c r="J674" t="s">
        <v>902</v>
      </c>
      <c r="K674" t="s">
        <v>903</v>
      </c>
      <c r="M674" t="s">
        <v>2991</v>
      </c>
      <c r="N674" t="s">
        <v>946</v>
      </c>
      <c r="O674" t="s">
        <v>2742</v>
      </c>
      <c r="P674" t="s">
        <v>22</v>
      </c>
      <c r="Q674" t="s">
        <v>941</v>
      </c>
      <c r="R674" t="s">
        <v>195</v>
      </c>
      <c r="S674">
        <v>7.738500000000001</v>
      </c>
      <c r="T674">
        <v>1</v>
      </c>
      <c r="U674">
        <v>0.45</v>
      </c>
      <c r="V674">
        <v>-3.8115000000000001</v>
      </c>
      <c r="W674" s="3">
        <v>0.24</v>
      </c>
      <c r="X674" t="s">
        <v>932</v>
      </c>
    </row>
    <row r="675" spans="1:24" x14ac:dyDescent="0.25">
      <c r="A675">
        <v>28234</v>
      </c>
      <c r="B675" t="s">
        <v>2315</v>
      </c>
      <c r="C675" s="1">
        <v>42643</v>
      </c>
      <c r="D675" s="1">
        <v>42647</v>
      </c>
      <c r="E675" t="s">
        <v>43</v>
      </c>
      <c r="F675" t="s">
        <v>1326</v>
      </c>
      <c r="G675" t="s">
        <v>168</v>
      </c>
      <c r="H675" t="s">
        <v>37</v>
      </c>
      <c r="I675" t="s">
        <v>906</v>
      </c>
      <c r="J675" t="s">
        <v>902</v>
      </c>
      <c r="K675" t="s">
        <v>903</v>
      </c>
      <c r="M675" t="s">
        <v>2991</v>
      </c>
      <c r="N675" t="s">
        <v>946</v>
      </c>
      <c r="O675" t="s">
        <v>2984</v>
      </c>
      <c r="P675" t="s">
        <v>22</v>
      </c>
      <c r="Q675" t="s">
        <v>941</v>
      </c>
      <c r="R675" t="s">
        <v>844</v>
      </c>
      <c r="S675">
        <v>7.6725000000000012</v>
      </c>
      <c r="T675">
        <v>1</v>
      </c>
      <c r="U675">
        <v>0.45</v>
      </c>
      <c r="V675">
        <v>0.11249999999999893</v>
      </c>
      <c r="W675" s="3">
        <v>1.52</v>
      </c>
      <c r="X675" t="s">
        <v>931</v>
      </c>
    </row>
    <row r="676" spans="1:24" x14ac:dyDescent="0.25">
      <c r="A676">
        <v>28141</v>
      </c>
      <c r="B676" t="s">
        <v>2308</v>
      </c>
      <c r="C676" s="1">
        <v>42708</v>
      </c>
      <c r="D676" s="1">
        <v>42714</v>
      </c>
      <c r="E676" t="s">
        <v>19</v>
      </c>
      <c r="F676" t="s">
        <v>1138</v>
      </c>
      <c r="G676" t="s">
        <v>683</v>
      </c>
      <c r="H676" t="s">
        <v>20</v>
      </c>
      <c r="I676" t="s">
        <v>907</v>
      </c>
      <c r="J676" t="s">
        <v>902</v>
      </c>
      <c r="K676" t="s">
        <v>903</v>
      </c>
      <c r="M676" t="s">
        <v>2991</v>
      </c>
      <c r="N676" t="s">
        <v>946</v>
      </c>
      <c r="O676" t="s">
        <v>2543</v>
      </c>
      <c r="P676" t="s">
        <v>22</v>
      </c>
      <c r="Q676" t="s">
        <v>23</v>
      </c>
      <c r="R676" t="s">
        <v>512</v>
      </c>
      <c r="S676">
        <v>7.524</v>
      </c>
      <c r="T676">
        <v>1</v>
      </c>
      <c r="U676">
        <v>0.45</v>
      </c>
      <c r="V676">
        <v>-4.1159999999999997</v>
      </c>
      <c r="W676" s="3">
        <v>0.59</v>
      </c>
      <c r="X676" t="s">
        <v>933</v>
      </c>
    </row>
    <row r="677" spans="1:24" x14ac:dyDescent="0.25">
      <c r="A677">
        <v>29950</v>
      </c>
      <c r="B677" t="s">
        <v>2411</v>
      </c>
      <c r="C677" s="1">
        <v>42380</v>
      </c>
      <c r="D677" s="1">
        <v>42385</v>
      </c>
      <c r="E677" t="s">
        <v>19</v>
      </c>
      <c r="F677" t="s">
        <v>966</v>
      </c>
      <c r="G677" t="s">
        <v>346</v>
      </c>
      <c r="H677" t="s">
        <v>20</v>
      </c>
      <c r="I677" t="s">
        <v>906</v>
      </c>
      <c r="J677" t="s">
        <v>902</v>
      </c>
      <c r="K677" t="s">
        <v>903</v>
      </c>
      <c r="M677" t="s">
        <v>2991</v>
      </c>
      <c r="N677" t="s">
        <v>946</v>
      </c>
      <c r="O677" t="s">
        <v>2477</v>
      </c>
      <c r="P677" t="s">
        <v>22</v>
      </c>
      <c r="Q677" t="s">
        <v>941</v>
      </c>
      <c r="R677" t="s">
        <v>162</v>
      </c>
      <c r="S677">
        <v>7.3755000000000006</v>
      </c>
      <c r="T677">
        <v>1</v>
      </c>
      <c r="U677">
        <v>0.45</v>
      </c>
      <c r="V677">
        <v>0.65549999999999908</v>
      </c>
      <c r="W677" s="3">
        <v>0.7</v>
      </c>
      <c r="X677" t="s">
        <v>931</v>
      </c>
    </row>
    <row r="678" spans="1:24" x14ac:dyDescent="0.25">
      <c r="A678">
        <v>23664</v>
      </c>
      <c r="B678" t="s">
        <v>2041</v>
      </c>
      <c r="C678" s="1">
        <v>42642</v>
      </c>
      <c r="D678" s="1">
        <v>42646</v>
      </c>
      <c r="E678" t="s">
        <v>19</v>
      </c>
      <c r="F678" t="s">
        <v>1118</v>
      </c>
      <c r="G678" t="s">
        <v>424</v>
      </c>
      <c r="H678" t="s">
        <v>20</v>
      </c>
      <c r="I678" t="s">
        <v>906</v>
      </c>
      <c r="J678" t="s">
        <v>902</v>
      </c>
      <c r="K678" t="s">
        <v>903</v>
      </c>
      <c r="M678" t="s">
        <v>2991</v>
      </c>
      <c r="N678" t="s">
        <v>946</v>
      </c>
      <c r="O678" t="s">
        <v>2772</v>
      </c>
      <c r="P678" t="s">
        <v>22</v>
      </c>
      <c r="Q678" t="s">
        <v>942</v>
      </c>
      <c r="R678" t="s">
        <v>788</v>
      </c>
      <c r="S678">
        <v>6.6555</v>
      </c>
      <c r="T678">
        <v>1</v>
      </c>
      <c r="U678">
        <v>0.15000000000000002</v>
      </c>
      <c r="V678">
        <v>0.53549999999999986</v>
      </c>
      <c r="W678" s="3">
        <v>0.4</v>
      </c>
      <c r="X678" t="s">
        <v>933</v>
      </c>
    </row>
    <row r="679" spans="1:24" x14ac:dyDescent="0.25">
      <c r="A679">
        <v>26215</v>
      </c>
      <c r="B679" t="s">
        <v>2182</v>
      </c>
      <c r="C679" s="1">
        <v>41801</v>
      </c>
      <c r="D679" s="1">
        <v>41804</v>
      </c>
      <c r="E679" t="s">
        <v>43</v>
      </c>
      <c r="F679" t="s">
        <v>1150</v>
      </c>
      <c r="G679" t="s">
        <v>662</v>
      </c>
      <c r="H679" t="s">
        <v>20</v>
      </c>
      <c r="I679" t="s">
        <v>906</v>
      </c>
      <c r="J679" t="s">
        <v>902</v>
      </c>
      <c r="K679" t="s">
        <v>903</v>
      </c>
      <c r="M679" t="s">
        <v>2991</v>
      </c>
      <c r="N679" t="s">
        <v>946</v>
      </c>
      <c r="O679" t="s">
        <v>2522</v>
      </c>
      <c r="P679" t="s">
        <v>22</v>
      </c>
      <c r="Q679" t="s">
        <v>23</v>
      </c>
      <c r="R679" t="s">
        <v>502</v>
      </c>
      <c r="S679">
        <v>6.5175000000000001</v>
      </c>
      <c r="T679">
        <v>1</v>
      </c>
      <c r="U679">
        <v>0.45</v>
      </c>
      <c r="V679">
        <v>0.21750000000000114</v>
      </c>
      <c r="W679" s="3">
        <v>0.42</v>
      </c>
      <c r="X679" t="s">
        <v>933</v>
      </c>
    </row>
    <row r="680" spans="1:24" x14ac:dyDescent="0.25">
      <c r="A680">
        <v>26360</v>
      </c>
      <c r="B680" t="s">
        <v>2198</v>
      </c>
      <c r="C680" s="1">
        <v>41277</v>
      </c>
      <c r="D680" s="1">
        <v>41281</v>
      </c>
      <c r="E680" t="s">
        <v>43</v>
      </c>
      <c r="F680" t="s">
        <v>1152</v>
      </c>
      <c r="G680" t="s">
        <v>151</v>
      </c>
      <c r="H680" t="s">
        <v>20</v>
      </c>
      <c r="I680" t="s">
        <v>906</v>
      </c>
      <c r="J680" t="s">
        <v>902</v>
      </c>
      <c r="K680" t="s">
        <v>903</v>
      </c>
      <c r="M680" t="s">
        <v>2991</v>
      </c>
      <c r="N680" t="s">
        <v>946</v>
      </c>
      <c r="O680" t="s">
        <v>2896</v>
      </c>
      <c r="P680" t="s">
        <v>22</v>
      </c>
      <c r="Q680" t="s">
        <v>941</v>
      </c>
      <c r="R680" t="s">
        <v>173</v>
      </c>
      <c r="S680">
        <v>6.0059999999999993</v>
      </c>
      <c r="T680">
        <v>1</v>
      </c>
      <c r="U680">
        <v>0.45</v>
      </c>
      <c r="V680">
        <v>0.54600000000000026</v>
      </c>
      <c r="W680" s="3">
        <v>0.8</v>
      </c>
      <c r="X680" t="s">
        <v>931</v>
      </c>
    </row>
    <row r="681" spans="1:24" x14ac:dyDescent="0.25">
      <c r="A681">
        <v>25007</v>
      </c>
      <c r="B681" t="s">
        <v>2110</v>
      </c>
      <c r="C681" s="1">
        <v>41819</v>
      </c>
      <c r="D681" s="1">
        <v>41826</v>
      </c>
      <c r="E681" t="s">
        <v>19</v>
      </c>
      <c r="F681" t="s">
        <v>1032</v>
      </c>
      <c r="G681" t="s">
        <v>740</v>
      </c>
      <c r="H681" t="s">
        <v>39</v>
      </c>
      <c r="I681" t="s">
        <v>901</v>
      </c>
      <c r="J681" t="s">
        <v>902</v>
      </c>
      <c r="K681" t="s">
        <v>903</v>
      </c>
      <c r="M681" t="s">
        <v>2991</v>
      </c>
      <c r="N681" t="s">
        <v>946</v>
      </c>
      <c r="O681" t="s">
        <v>2762</v>
      </c>
      <c r="P681" t="s">
        <v>22</v>
      </c>
      <c r="Q681" t="s">
        <v>23</v>
      </c>
      <c r="R681" t="s">
        <v>473</v>
      </c>
      <c r="S681">
        <v>5.3295000000000003</v>
      </c>
      <c r="T681">
        <v>1</v>
      </c>
      <c r="U681">
        <v>0.45</v>
      </c>
      <c r="V681">
        <v>0.46950000000000003</v>
      </c>
      <c r="W681" s="3">
        <v>0.42</v>
      </c>
      <c r="X681" t="s">
        <v>933</v>
      </c>
    </row>
    <row r="682" spans="1:24" x14ac:dyDescent="0.25">
      <c r="A682">
        <v>24283</v>
      </c>
      <c r="B682" t="s">
        <v>2072</v>
      </c>
      <c r="C682" s="1">
        <v>41796</v>
      </c>
      <c r="D682" s="1">
        <v>41801</v>
      </c>
      <c r="E682" t="s">
        <v>19</v>
      </c>
      <c r="F682" t="s">
        <v>1245</v>
      </c>
      <c r="G682" t="s">
        <v>543</v>
      </c>
      <c r="H682" t="s">
        <v>39</v>
      </c>
      <c r="I682" t="s">
        <v>906</v>
      </c>
      <c r="J682" t="s">
        <v>902</v>
      </c>
      <c r="K682" t="s">
        <v>903</v>
      </c>
      <c r="M682" t="s">
        <v>2991</v>
      </c>
      <c r="N682" t="s">
        <v>946</v>
      </c>
      <c r="O682" t="s">
        <v>2586</v>
      </c>
      <c r="P682" t="s">
        <v>22</v>
      </c>
      <c r="Q682" t="s">
        <v>941</v>
      </c>
      <c r="R682" t="s">
        <v>632</v>
      </c>
      <c r="S682">
        <v>4.5705000000000009</v>
      </c>
      <c r="T682">
        <v>1</v>
      </c>
      <c r="U682">
        <v>0.45</v>
      </c>
      <c r="V682">
        <v>-3.1695000000000002</v>
      </c>
      <c r="W682" s="3">
        <v>0.2</v>
      </c>
      <c r="X682" t="s">
        <v>933</v>
      </c>
    </row>
  </sheetData>
  <pageMargins left="0.75" right="0.75" top="1" bottom="1" header="0.5" footer="0.5"/>
  <pageSetup orientation="portrait" horizontalDpi="4294967292" verticalDpi="4294967292"/>
  <headerFooter alignWithMargins="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174"/>
  <sheetViews>
    <sheetView zoomScaleNormal="100" workbookViewId="0"/>
  </sheetViews>
  <sheetFormatPr defaultColWidth="11" defaultRowHeight="15.75" x14ac:dyDescent="0.25"/>
  <cols>
    <col min="1" max="3" width="18.125" customWidth="1"/>
  </cols>
  <sheetData>
    <row r="1" spans="1:3" x14ac:dyDescent="0.25">
      <c r="A1" t="s">
        <v>889</v>
      </c>
      <c r="B1" t="s">
        <v>1</v>
      </c>
      <c r="C1" t="s">
        <v>928</v>
      </c>
    </row>
    <row r="2" spans="1:3" x14ac:dyDescent="0.25">
      <c r="A2" t="s">
        <v>890</v>
      </c>
      <c r="B2" t="s">
        <v>3044</v>
      </c>
      <c r="C2" t="s">
        <v>3288</v>
      </c>
    </row>
    <row r="3" spans="1:3" x14ac:dyDescent="0.25">
      <c r="A3" t="s">
        <v>890</v>
      </c>
      <c r="B3" t="s">
        <v>3125</v>
      </c>
      <c r="C3" t="s">
        <v>3288</v>
      </c>
    </row>
    <row r="4" spans="1:3" x14ac:dyDescent="0.25">
      <c r="A4" t="s">
        <v>890</v>
      </c>
      <c r="B4" s="4" t="s">
        <v>1649</v>
      </c>
      <c r="C4" t="s">
        <v>2992</v>
      </c>
    </row>
    <row r="5" spans="1:3" x14ac:dyDescent="0.25">
      <c r="A5" t="s">
        <v>890</v>
      </c>
      <c r="B5" t="s">
        <v>1483</v>
      </c>
      <c r="C5" t="s">
        <v>953</v>
      </c>
    </row>
    <row r="6" spans="1:3" x14ac:dyDescent="0.25">
      <c r="A6" t="s">
        <v>890</v>
      </c>
      <c r="B6" s="4" t="s">
        <v>1697</v>
      </c>
      <c r="C6" t="s">
        <v>2992</v>
      </c>
    </row>
    <row r="7" spans="1:3" x14ac:dyDescent="0.25">
      <c r="A7" t="s">
        <v>890</v>
      </c>
      <c r="B7" t="s">
        <v>3214</v>
      </c>
      <c r="C7" t="s">
        <v>3288</v>
      </c>
    </row>
    <row r="8" spans="1:3" x14ac:dyDescent="0.25">
      <c r="A8" t="s">
        <v>890</v>
      </c>
      <c r="B8" t="s">
        <v>2021</v>
      </c>
      <c r="C8" t="s">
        <v>2991</v>
      </c>
    </row>
    <row r="9" spans="1:3" x14ac:dyDescent="0.25">
      <c r="A9" t="s">
        <v>890</v>
      </c>
      <c r="B9" t="s">
        <v>1862</v>
      </c>
      <c r="C9" t="s">
        <v>2991</v>
      </c>
    </row>
    <row r="10" spans="1:3" x14ac:dyDescent="0.25">
      <c r="A10" t="s">
        <v>890</v>
      </c>
      <c r="B10" s="4" t="s">
        <v>1794</v>
      </c>
      <c r="C10" t="s">
        <v>2992</v>
      </c>
    </row>
    <row r="11" spans="1:3" x14ac:dyDescent="0.25">
      <c r="A11" t="s">
        <v>890</v>
      </c>
      <c r="B11" t="s">
        <v>3101</v>
      </c>
      <c r="C11" t="s">
        <v>3288</v>
      </c>
    </row>
    <row r="12" spans="1:3" x14ac:dyDescent="0.25">
      <c r="A12" t="s">
        <v>890</v>
      </c>
      <c r="B12" t="s">
        <v>1938</v>
      </c>
      <c r="C12" t="s">
        <v>2991</v>
      </c>
    </row>
    <row r="13" spans="1:3" x14ac:dyDescent="0.25">
      <c r="A13" t="s">
        <v>890</v>
      </c>
      <c r="B13" t="s">
        <v>1982</v>
      </c>
      <c r="C13" t="s">
        <v>2991</v>
      </c>
    </row>
    <row r="14" spans="1:3" x14ac:dyDescent="0.25">
      <c r="A14" t="s">
        <v>890</v>
      </c>
      <c r="B14" s="4" t="s">
        <v>1723</v>
      </c>
      <c r="C14" t="s">
        <v>2992</v>
      </c>
    </row>
    <row r="15" spans="1:3" x14ac:dyDescent="0.25">
      <c r="A15" t="s">
        <v>890</v>
      </c>
      <c r="B15" t="s">
        <v>3167</v>
      </c>
      <c r="C15" t="s">
        <v>3288</v>
      </c>
    </row>
    <row r="16" spans="1:3" x14ac:dyDescent="0.25">
      <c r="A16" t="s">
        <v>890</v>
      </c>
      <c r="B16" t="s">
        <v>2282</v>
      </c>
      <c r="C16" t="s">
        <v>2991</v>
      </c>
    </row>
    <row r="17" spans="1:3" x14ac:dyDescent="0.25">
      <c r="A17" t="s">
        <v>890</v>
      </c>
      <c r="B17" t="s">
        <v>2415</v>
      </c>
      <c r="C17" t="s">
        <v>2991</v>
      </c>
    </row>
    <row r="18" spans="1:3" x14ac:dyDescent="0.25">
      <c r="A18" t="s">
        <v>890</v>
      </c>
      <c r="B18" t="s">
        <v>1340</v>
      </c>
      <c r="C18" t="s">
        <v>953</v>
      </c>
    </row>
    <row r="19" spans="1:3" x14ac:dyDescent="0.25">
      <c r="A19" t="s">
        <v>890</v>
      </c>
      <c r="B19" s="4" t="s">
        <v>1717</v>
      </c>
      <c r="C19" t="s">
        <v>2992</v>
      </c>
    </row>
    <row r="20" spans="1:3" x14ac:dyDescent="0.25">
      <c r="A20" t="s">
        <v>890</v>
      </c>
      <c r="B20" t="s">
        <v>988</v>
      </c>
      <c r="C20" t="s">
        <v>953</v>
      </c>
    </row>
    <row r="21" spans="1:3" x14ac:dyDescent="0.25">
      <c r="A21" t="s">
        <v>890</v>
      </c>
      <c r="B21" t="s">
        <v>2434</v>
      </c>
      <c r="C21" t="s">
        <v>2991</v>
      </c>
    </row>
    <row r="22" spans="1:3" x14ac:dyDescent="0.25">
      <c r="A22" t="s">
        <v>890</v>
      </c>
      <c r="B22" t="s">
        <v>1493</v>
      </c>
      <c r="C22" t="s">
        <v>953</v>
      </c>
    </row>
    <row r="23" spans="1:3" x14ac:dyDescent="0.25">
      <c r="A23" t="s">
        <v>890</v>
      </c>
      <c r="B23" t="s">
        <v>2202</v>
      </c>
      <c r="C23" t="s">
        <v>2991</v>
      </c>
    </row>
    <row r="24" spans="1:3" x14ac:dyDescent="0.25">
      <c r="A24" t="s">
        <v>890</v>
      </c>
      <c r="B24" t="s">
        <v>1504</v>
      </c>
      <c r="C24" t="s">
        <v>953</v>
      </c>
    </row>
    <row r="25" spans="1:3" x14ac:dyDescent="0.25">
      <c r="A25" t="s">
        <v>890</v>
      </c>
      <c r="B25" t="s">
        <v>1351</v>
      </c>
      <c r="C25" t="s">
        <v>953</v>
      </c>
    </row>
    <row r="26" spans="1:3" x14ac:dyDescent="0.25">
      <c r="A26" t="s">
        <v>890</v>
      </c>
      <c r="B26" t="s">
        <v>1462</v>
      </c>
      <c r="C26" t="s">
        <v>953</v>
      </c>
    </row>
    <row r="27" spans="1:3" x14ac:dyDescent="0.25">
      <c r="A27" t="s">
        <v>890</v>
      </c>
      <c r="B27" t="s">
        <v>1915</v>
      </c>
      <c r="C27" t="s">
        <v>2991</v>
      </c>
    </row>
    <row r="28" spans="1:3" x14ac:dyDescent="0.25">
      <c r="A28" t="s">
        <v>890</v>
      </c>
      <c r="B28" t="s">
        <v>1424</v>
      </c>
      <c r="C28" t="s">
        <v>953</v>
      </c>
    </row>
    <row r="29" spans="1:3" x14ac:dyDescent="0.25">
      <c r="A29" t="s">
        <v>890</v>
      </c>
      <c r="B29" t="s">
        <v>3231</v>
      </c>
      <c r="C29" t="s">
        <v>3288</v>
      </c>
    </row>
    <row r="30" spans="1:3" x14ac:dyDescent="0.25">
      <c r="A30" t="s">
        <v>890</v>
      </c>
      <c r="B30" t="s">
        <v>2996</v>
      </c>
      <c r="C30" t="s">
        <v>3288</v>
      </c>
    </row>
    <row r="31" spans="1:3" x14ac:dyDescent="0.25">
      <c r="A31" t="s">
        <v>890</v>
      </c>
      <c r="B31" t="s">
        <v>2169</v>
      </c>
      <c r="C31" t="s">
        <v>2991</v>
      </c>
    </row>
    <row r="32" spans="1:3" x14ac:dyDescent="0.25">
      <c r="A32" t="s">
        <v>890</v>
      </c>
      <c r="B32" t="s">
        <v>2124</v>
      </c>
      <c r="C32" t="s">
        <v>2991</v>
      </c>
    </row>
    <row r="33" spans="1:3" x14ac:dyDescent="0.25">
      <c r="A33" t="s">
        <v>890</v>
      </c>
      <c r="B33" t="s">
        <v>1498</v>
      </c>
      <c r="C33" t="s">
        <v>953</v>
      </c>
    </row>
    <row r="34" spans="1:3" x14ac:dyDescent="0.25">
      <c r="A34" t="s">
        <v>890</v>
      </c>
      <c r="B34" t="s">
        <v>1904</v>
      </c>
      <c r="C34" t="s">
        <v>2991</v>
      </c>
    </row>
    <row r="35" spans="1:3" x14ac:dyDescent="0.25">
      <c r="A35" t="s">
        <v>890</v>
      </c>
      <c r="B35" s="4" t="s">
        <v>1817</v>
      </c>
      <c r="C35" t="s">
        <v>2992</v>
      </c>
    </row>
    <row r="36" spans="1:3" x14ac:dyDescent="0.25">
      <c r="A36" t="s">
        <v>890</v>
      </c>
      <c r="B36" t="s">
        <v>3249</v>
      </c>
      <c r="C36" t="s">
        <v>3288</v>
      </c>
    </row>
    <row r="37" spans="1:3" x14ac:dyDescent="0.25">
      <c r="A37" t="s">
        <v>890</v>
      </c>
      <c r="B37" t="s">
        <v>3062</v>
      </c>
      <c r="C37" t="s">
        <v>3288</v>
      </c>
    </row>
    <row r="38" spans="1:3" x14ac:dyDescent="0.25">
      <c r="A38" t="s">
        <v>890</v>
      </c>
      <c r="B38" t="s">
        <v>1406</v>
      </c>
      <c r="C38" t="s">
        <v>953</v>
      </c>
    </row>
    <row r="39" spans="1:3" x14ac:dyDescent="0.25">
      <c r="A39" t="s">
        <v>890</v>
      </c>
      <c r="B39" t="s">
        <v>1408</v>
      </c>
      <c r="C39" t="s">
        <v>953</v>
      </c>
    </row>
    <row r="40" spans="1:3" x14ac:dyDescent="0.25">
      <c r="A40" t="s">
        <v>890</v>
      </c>
      <c r="B40" t="s">
        <v>3166</v>
      </c>
      <c r="C40" t="s">
        <v>3288</v>
      </c>
    </row>
    <row r="41" spans="1:3" x14ac:dyDescent="0.25">
      <c r="A41" t="s">
        <v>890</v>
      </c>
      <c r="B41" t="s">
        <v>3147</v>
      </c>
      <c r="C41" t="s">
        <v>3288</v>
      </c>
    </row>
    <row r="42" spans="1:3" x14ac:dyDescent="0.25">
      <c r="A42" t="s">
        <v>890</v>
      </c>
      <c r="B42" t="s">
        <v>3201</v>
      </c>
      <c r="C42" t="s">
        <v>3288</v>
      </c>
    </row>
    <row r="43" spans="1:3" x14ac:dyDescent="0.25">
      <c r="A43" t="s">
        <v>890</v>
      </c>
      <c r="B43" s="4" t="s">
        <v>1595</v>
      </c>
      <c r="C43" t="s">
        <v>2992</v>
      </c>
    </row>
    <row r="44" spans="1:3" x14ac:dyDescent="0.25">
      <c r="A44" t="s">
        <v>890</v>
      </c>
      <c r="B44" t="s">
        <v>3105</v>
      </c>
      <c r="C44" t="s">
        <v>3288</v>
      </c>
    </row>
    <row r="45" spans="1:3" x14ac:dyDescent="0.25">
      <c r="A45" t="s">
        <v>890</v>
      </c>
      <c r="B45" t="s">
        <v>3250</v>
      </c>
      <c r="C45" t="s">
        <v>3288</v>
      </c>
    </row>
    <row r="46" spans="1:3" x14ac:dyDescent="0.25">
      <c r="A46" t="s">
        <v>890</v>
      </c>
      <c r="B46" t="s">
        <v>2383</v>
      </c>
      <c r="C46" t="s">
        <v>2991</v>
      </c>
    </row>
    <row r="47" spans="1:3" x14ac:dyDescent="0.25">
      <c r="A47" t="s">
        <v>890</v>
      </c>
      <c r="B47" t="s">
        <v>2289</v>
      </c>
      <c r="C47" t="s">
        <v>2991</v>
      </c>
    </row>
    <row r="48" spans="1:3" x14ac:dyDescent="0.25">
      <c r="A48" t="s">
        <v>890</v>
      </c>
      <c r="B48" t="s">
        <v>3119</v>
      </c>
      <c r="C48" t="s">
        <v>3288</v>
      </c>
    </row>
    <row r="49" spans="1:3" x14ac:dyDescent="0.25">
      <c r="A49" t="s">
        <v>890</v>
      </c>
      <c r="B49" s="4" t="s">
        <v>1762</v>
      </c>
      <c r="C49" t="s">
        <v>2992</v>
      </c>
    </row>
    <row r="50" spans="1:3" x14ac:dyDescent="0.25">
      <c r="A50" t="s">
        <v>890</v>
      </c>
      <c r="B50" t="s">
        <v>2432</v>
      </c>
      <c r="C50" t="s">
        <v>2991</v>
      </c>
    </row>
    <row r="51" spans="1:3" x14ac:dyDescent="0.25">
      <c r="A51" t="s">
        <v>890</v>
      </c>
      <c r="B51" s="4" t="s">
        <v>1629</v>
      </c>
      <c r="C51" t="s">
        <v>2992</v>
      </c>
    </row>
    <row r="52" spans="1:3" x14ac:dyDescent="0.25">
      <c r="A52" t="s">
        <v>890</v>
      </c>
      <c r="B52" t="s">
        <v>1110</v>
      </c>
      <c r="C52" t="s">
        <v>953</v>
      </c>
    </row>
    <row r="53" spans="1:3" x14ac:dyDescent="0.25">
      <c r="A53" t="s">
        <v>890</v>
      </c>
      <c r="B53" t="s">
        <v>1236</v>
      </c>
      <c r="C53" t="s">
        <v>953</v>
      </c>
    </row>
    <row r="54" spans="1:3" x14ac:dyDescent="0.25">
      <c r="A54" t="s">
        <v>890</v>
      </c>
      <c r="B54" t="s">
        <v>2203</v>
      </c>
      <c r="C54" t="s">
        <v>2991</v>
      </c>
    </row>
    <row r="55" spans="1:3" x14ac:dyDescent="0.25">
      <c r="A55" t="s">
        <v>890</v>
      </c>
      <c r="B55" t="s">
        <v>1934</v>
      </c>
      <c r="C55" t="s">
        <v>2991</v>
      </c>
    </row>
    <row r="56" spans="1:3" x14ac:dyDescent="0.25">
      <c r="A56" t="s">
        <v>890</v>
      </c>
      <c r="B56" t="s">
        <v>2264</v>
      </c>
      <c r="C56" t="s">
        <v>2991</v>
      </c>
    </row>
    <row r="57" spans="1:3" x14ac:dyDescent="0.25">
      <c r="A57" t="s">
        <v>890</v>
      </c>
      <c r="B57" t="s">
        <v>2422</v>
      </c>
      <c r="C57" t="s">
        <v>2991</v>
      </c>
    </row>
    <row r="58" spans="1:3" x14ac:dyDescent="0.25">
      <c r="A58" t="s">
        <v>890</v>
      </c>
      <c r="B58" t="s">
        <v>3255</v>
      </c>
      <c r="C58" t="s">
        <v>3288</v>
      </c>
    </row>
    <row r="59" spans="1:3" x14ac:dyDescent="0.25">
      <c r="A59" t="s">
        <v>890</v>
      </c>
      <c r="B59" t="s">
        <v>3040</v>
      </c>
      <c r="C59" t="s">
        <v>3288</v>
      </c>
    </row>
    <row r="60" spans="1:3" x14ac:dyDescent="0.25">
      <c r="A60" t="s">
        <v>890</v>
      </c>
      <c r="B60" t="s">
        <v>3148</v>
      </c>
      <c r="C60" t="s">
        <v>3288</v>
      </c>
    </row>
    <row r="61" spans="1:3" x14ac:dyDescent="0.25">
      <c r="A61" t="s">
        <v>890</v>
      </c>
      <c r="B61" t="s">
        <v>1516</v>
      </c>
      <c r="C61" t="s">
        <v>953</v>
      </c>
    </row>
    <row r="62" spans="1:3" x14ac:dyDescent="0.25">
      <c r="A62" t="s">
        <v>890</v>
      </c>
      <c r="B62" t="s">
        <v>1896</v>
      </c>
      <c r="C62" t="s">
        <v>2991</v>
      </c>
    </row>
    <row r="63" spans="1:3" x14ac:dyDescent="0.25">
      <c r="A63" t="s">
        <v>890</v>
      </c>
      <c r="B63" t="s">
        <v>3275</v>
      </c>
      <c r="C63" t="s">
        <v>3288</v>
      </c>
    </row>
    <row r="64" spans="1:3" x14ac:dyDescent="0.25">
      <c r="A64" t="s">
        <v>890</v>
      </c>
      <c r="B64" t="s">
        <v>1946</v>
      </c>
      <c r="C64" t="s">
        <v>2991</v>
      </c>
    </row>
    <row r="65" spans="1:3" x14ac:dyDescent="0.25">
      <c r="A65" t="s">
        <v>890</v>
      </c>
      <c r="B65" t="s">
        <v>2183</v>
      </c>
      <c r="C65" t="s">
        <v>2991</v>
      </c>
    </row>
    <row r="66" spans="1:3" x14ac:dyDescent="0.25">
      <c r="A66" t="s">
        <v>890</v>
      </c>
      <c r="B66" t="s">
        <v>3079</v>
      </c>
      <c r="C66" t="s">
        <v>3288</v>
      </c>
    </row>
    <row r="67" spans="1:3" x14ac:dyDescent="0.25">
      <c r="A67" t="s">
        <v>890</v>
      </c>
      <c r="B67" s="4" t="s">
        <v>1768</v>
      </c>
      <c r="C67" t="s">
        <v>2992</v>
      </c>
    </row>
    <row r="68" spans="1:3" x14ac:dyDescent="0.25">
      <c r="A68" t="s">
        <v>890</v>
      </c>
      <c r="B68" t="s">
        <v>3024</v>
      </c>
      <c r="C68" t="s">
        <v>3288</v>
      </c>
    </row>
    <row r="69" spans="1:3" x14ac:dyDescent="0.25">
      <c r="A69" t="s">
        <v>890</v>
      </c>
      <c r="B69" t="s">
        <v>2139</v>
      </c>
      <c r="C69" t="s">
        <v>2991</v>
      </c>
    </row>
    <row r="70" spans="1:3" x14ac:dyDescent="0.25">
      <c r="A70" t="s">
        <v>890</v>
      </c>
      <c r="B70" t="s">
        <v>3195</v>
      </c>
      <c r="C70" t="s">
        <v>3288</v>
      </c>
    </row>
    <row r="71" spans="1:3" x14ac:dyDescent="0.25">
      <c r="A71" t="s">
        <v>890</v>
      </c>
      <c r="B71" t="s">
        <v>1887</v>
      </c>
      <c r="C71" t="s">
        <v>2991</v>
      </c>
    </row>
    <row r="72" spans="1:3" x14ac:dyDescent="0.25">
      <c r="A72" t="s">
        <v>890</v>
      </c>
      <c r="B72" t="s">
        <v>2232</v>
      </c>
      <c r="C72" t="s">
        <v>2991</v>
      </c>
    </row>
    <row r="73" spans="1:3" x14ac:dyDescent="0.25">
      <c r="A73" t="s">
        <v>890</v>
      </c>
      <c r="B73" t="s">
        <v>3037</v>
      </c>
      <c r="C73" t="s">
        <v>3288</v>
      </c>
    </row>
    <row r="74" spans="1:3" x14ac:dyDescent="0.25">
      <c r="A74" t="s">
        <v>890</v>
      </c>
      <c r="B74" t="s">
        <v>3278</v>
      </c>
      <c r="C74" t="s">
        <v>3288</v>
      </c>
    </row>
    <row r="75" spans="1:3" x14ac:dyDescent="0.25">
      <c r="A75" t="s">
        <v>890</v>
      </c>
      <c r="B75" t="s">
        <v>1890</v>
      </c>
      <c r="C75" t="s">
        <v>2991</v>
      </c>
    </row>
    <row r="76" spans="1:3" x14ac:dyDescent="0.25">
      <c r="A76" t="s">
        <v>890</v>
      </c>
      <c r="B76" s="4" t="s">
        <v>1808</v>
      </c>
      <c r="C76" t="s">
        <v>2992</v>
      </c>
    </row>
    <row r="77" spans="1:3" x14ac:dyDescent="0.25">
      <c r="A77" t="s">
        <v>890</v>
      </c>
      <c r="B77" s="4" t="s">
        <v>1568</v>
      </c>
      <c r="C77" t="s">
        <v>2992</v>
      </c>
    </row>
    <row r="78" spans="1:3" x14ac:dyDescent="0.25">
      <c r="A78" t="s">
        <v>890</v>
      </c>
      <c r="B78" t="s">
        <v>3252</v>
      </c>
      <c r="C78" t="s">
        <v>3288</v>
      </c>
    </row>
    <row r="79" spans="1:3" x14ac:dyDescent="0.25">
      <c r="A79" t="s">
        <v>890</v>
      </c>
      <c r="B79" s="4" t="s">
        <v>1668</v>
      </c>
      <c r="C79" t="s">
        <v>2992</v>
      </c>
    </row>
    <row r="80" spans="1:3" x14ac:dyDescent="0.25">
      <c r="A80" t="s">
        <v>890</v>
      </c>
      <c r="B80" t="s">
        <v>2035</v>
      </c>
      <c r="C80" t="s">
        <v>2991</v>
      </c>
    </row>
    <row r="81" spans="1:3" x14ac:dyDescent="0.25">
      <c r="A81" t="s">
        <v>890</v>
      </c>
      <c r="B81" t="s">
        <v>3281</v>
      </c>
      <c r="C81" t="s">
        <v>3288</v>
      </c>
    </row>
    <row r="82" spans="1:3" x14ac:dyDescent="0.25">
      <c r="A82" t="s">
        <v>890</v>
      </c>
      <c r="B82" t="s">
        <v>1277</v>
      </c>
      <c r="C82" t="s">
        <v>953</v>
      </c>
    </row>
    <row r="83" spans="1:3" x14ac:dyDescent="0.25">
      <c r="A83" t="s">
        <v>890</v>
      </c>
      <c r="B83" t="s">
        <v>2353</v>
      </c>
      <c r="C83" t="s">
        <v>2991</v>
      </c>
    </row>
    <row r="84" spans="1:3" x14ac:dyDescent="0.25">
      <c r="A84" t="s">
        <v>890</v>
      </c>
      <c r="B84" t="s">
        <v>3184</v>
      </c>
      <c r="C84" t="s">
        <v>3288</v>
      </c>
    </row>
    <row r="85" spans="1:3" x14ac:dyDescent="0.25">
      <c r="A85" t="s">
        <v>890</v>
      </c>
      <c r="B85" s="4" t="s">
        <v>1648</v>
      </c>
      <c r="C85" t="s">
        <v>2992</v>
      </c>
    </row>
    <row r="86" spans="1:3" x14ac:dyDescent="0.25">
      <c r="A86" t="s">
        <v>890</v>
      </c>
      <c r="B86" t="s">
        <v>1894</v>
      </c>
      <c r="C86" t="s">
        <v>2991</v>
      </c>
    </row>
    <row r="87" spans="1:3" x14ac:dyDescent="0.25">
      <c r="A87" t="s">
        <v>890</v>
      </c>
      <c r="B87" s="4" t="s">
        <v>1678</v>
      </c>
      <c r="C87" t="s">
        <v>2992</v>
      </c>
    </row>
    <row r="88" spans="1:3" x14ac:dyDescent="0.25">
      <c r="A88" t="s">
        <v>890</v>
      </c>
      <c r="B88" s="4" t="s">
        <v>1594</v>
      </c>
      <c r="C88" t="s">
        <v>2992</v>
      </c>
    </row>
    <row r="89" spans="1:3" x14ac:dyDescent="0.25">
      <c r="A89" t="s">
        <v>890</v>
      </c>
      <c r="B89" t="s">
        <v>2356</v>
      </c>
      <c r="C89" t="s">
        <v>2991</v>
      </c>
    </row>
    <row r="90" spans="1:3" x14ac:dyDescent="0.25">
      <c r="A90" t="s">
        <v>890</v>
      </c>
      <c r="B90" t="s">
        <v>2417</v>
      </c>
      <c r="C90" t="s">
        <v>2991</v>
      </c>
    </row>
    <row r="91" spans="1:3" x14ac:dyDescent="0.25">
      <c r="A91" t="s">
        <v>890</v>
      </c>
      <c r="B91" t="s">
        <v>1289</v>
      </c>
      <c r="C91" t="s">
        <v>953</v>
      </c>
    </row>
    <row r="92" spans="1:3" x14ac:dyDescent="0.25">
      <c r="A92" t="s">
        <v>890</v>
      </c>
      <c r="B92" s="4" t="s">
        <v>1791</v>
      </c>
      <c r="C92" t="s">
        <v>2992</v>
      </c>
    </row>
    <row r="93" spans="1:3" x14ac:dyDescent="0.25">
      <c r="A93" t="s">
        <v>890</v>
      </c>
      <c r="B93" t="s">
        <v>2243</v>
      </c>
      <c r="C93" t="s">
        <v>2991</v>
      </c>
    </row>
    <row r="94" spans="1:3" x14ac:dyDescent="0.25">
      <c r="A94" t="s">
        <v>890</v>
      </c>
      <c r="B94" t="s">
        <v>2212</v>
      </c>
      <c r="C94" t="s">
        <v>2991</v>
      </c>
    </row>
    <row r="95" spans="1:3" x14ac:dyDescent="0.25">
      <c r="A95" t="s">
        <v>890</v>
      </c>
      <c r="B95" s="4" t="s">
        <v>1786</v>
      </c>
      <c r="C95" t="s">
        <v>2992</v>
      </c>
    </row>
    <row r="96" spans="1:3" x14ac:dyDescent="0.25">
      <c r="A96" t="s">
        <v>890</v>
      </c>
      <c r="B96" t="s">
        <v>2418</v>
      </c>
      <c r="C96" t="s">
        <v>2991</v>
      </c>
    </row>
    <row r="97" spans="1:3" x14ac:dyDescent="0.25">
      <c r="A97" t="s">
        <v>890</v>
      </c>
      <c r="B97" t="s">
        <v>2201</v>
      </c>
      <c r="C97" t="s">
        <v>2991</v>
      </c>
    </row>
    <row r="98" spans="1:3" x14ac:dyDescent="0.25">
      <c r="A98" t="s">
        <v>890</v>
      </c>
      <c r="B98" t="s">
        <v>3254</v>
      </c>
      <c r="C98" t="s">
        <v>3288</v>
      </c>
    </row>
    <row r="99" spans="1:3" x14ac:dyDescent="0.25">
      <c r="A99" t="s">
        <v>890</v>
      </c>
      <c r="B99" t="s">
        <v>2059</v>
      </c>
      <c r="C99" t="s">
        <v>2991</v>
      </c>
    </row>
    <row r="100" spans="1:3" x14ac:dyDescent="0.25">
      <c r="A100" t="s">
        <v>890</v>
      </c>
      <c r="B100" s="4" t="s">
        <v>1802</v>
      </c>
      <c r="C100" t="s">
        <v>2992</v>
      </c>
    </row>
    <row r="101" spans="1:3" x14ac:dyDescent="0.25">
      <c r="A101" t="s">
        <v>890</v>
      </c>
      <c r="B101" t="s">
        <v>1884</v>
      </c>
      <c r="C101" t="s">
        <v>2991</v>
      </c>
    </row>
    <row r="102" spans="1:3" x14ac:dyDescent="0.25">
      <c r="A102" t="s">
        <v>890</v>
      </c>
      <c r="B102" s="4" t="s">
        <v>1731</v>
      </c>
      <c r="C102" t="s">
        <v>2992</v>
      </c>
    </row>
    <row r="103" spans="1:3" x14ac:dyDescent="0.25">
      <c r="A103" t="s">
        <v>890</v>
      </c>
      <c r="B103" t="s">
        <v>2179</v>
      </c>
      <c r="C103" t="s">
        <v>2991</v>
      </c>
    </row>
    <row r="104" spans="1:3" x14ac:dyDescent="0.25">
      <c r="A104" t="s">
        <v>890</v>
      </c>
      <c r="B104" t="s">
        <v>2405</v>
      </c>
      <c r="C104" t="s">
        <v>2991</v>
      </c>
    </row>
    <row r="105" spans="1:3" x14ac:dyDescent="0.25">
      <c r="A105" t="s">
        <v>890</v>
      </c>
      <c r="B105" s="4" t="s">
        <v>1789</v>
      </c>
      <c r="C105" t="s">
        <v>2992</v>
      </c>
    </row>
    <row r="106" spans="1:3" x14ac:dyDescent="0.25">
      <c r="A106" t="s">
        <v>890</v>
      </c>
      <c r="B106" t="s">
        <v>1523</v>
      </c>
      <c r="C106" t="s">
        <v>953</v>
      </c>
    </row>
    <row r="107" spans="1:3" x14ac:dyDescent="0.25">
      <c r="A107" t="s">
        <v>890</v>
      </c>
      <c r="B107" t="s">
        <v>1962</v>
      </c>
      <c r="C107" t="s">
        <v>2991</v>
      </c>
    </row>
    <row r="108" spans="1:3" x14ac:dyDescent="0.25">
      <c r="A108" t="s">
        <v>890</v>
      </c>
      <c r="B108" s="4" t="s">
        <v>1728</v>
      </c>
      <c r="C108" t="s">
        <v>2992</v>
      </c>
    </row>
    <row r="109" spans="1:3" x14ac:dyDescent="0.25">
      <c r="A109" t="s">
        <v>890</v>
      </c>
      <c r="B109" s="4" t="s">
        <v>1645</v>
      </c>
      <c r="C109" t="s">
        <v>2992</v>
      </c>
    </row>
    <row r="110" spans="1:3" x14ac:dyDescent="0.25">
      <c r="A110" t="s">
        <v>890</v>
      </c>
      <c r="B110" t="s">
        <v>3186</v>
      </c>
      <c r="C110" t="s">
        <v>3288</v>
      </c>
    </row>
    <row r="111" spans="1:3" x14ac:dyDescent="0.25">
      <c r="A111" t="s">
        <v>890</v>
      </c>
      <c r="B111" t="s">
        <v>2120</v>
      </c>
      <c r="C111" t="s">
        <v>2991</v>
      </c>
    </row>
    <row r="112" spans="1:3" x14ac:dyDescent="0.25">
      <c r="A112" t="s">
        <v>890</v>
      </c>
      <c r="B112" t="s">
        <v>3109</v>
      </c>
      <c r="C112" t="s">
        <v>3288</v>
      </c>
    </row>
    <row r="113" spans="1:3" x14ac:dyDescent="0.25">
      <c r="A113" t="s">
        <v>890</v>
      </c>
      <c r="B113" t="s">
        <v>1435</v>
      </c>
      <c r="C113" t="s">
        <v>953</v>
      </c>
    </row>
    <row r="114" spans="1:3" x14ac:dyDescent="0.25">
      <c r="A114" t="s">
        <v>890</v>
      </c>
      <c r="B114" t="s">
        <v>2266</v>
      </c>
      <c r="C114" t="s">
        <v>2991</v>
      </c>
    </row>
    <row r="115" spans="1:3" x14ac:dyDescent="0.25">
      <c r="A115" t="s">
        <v>890</v>
      </c>
      <c r="B115" t="s">
        <v>2060</v>
      </c>
      <c r="C115" t="s">
        <v>2991</v>
      </c>
    </row>
    <row r="116" spans="1:3" x14ac:dyDescent="0.25">
      <c r="A116" t="s">
        <v>890</v>
      </c>
      <c r="B116" t="s">
        <v>3006</v>
      </c>
      <c r="C116" t="s">
        <v>3288</v>
      </c>
    </row>
    <row r="117" spans="1:3" x14ac:dyDescent="0.25">
      <c r="A117" t="s">
        <v>890</v>
      </c>
      <c r="B117" t="s">
        <v>2116</v>
      </c>
      <c r="C117" t="s">
        <v>2991</v>
      </c>
    </row>
    <row r="118" spans="1:3" x14ac:dyDescent="0.25">
      <c r="A118" t="s">
        <v>890</v>
      </c>
      <c r="B118" t="s">
        <v>3054</v>
      </c>
      <c r="C118" t="s">
        <v>3288</v>
      </c>
    </row>
    <row r="119" spans="1:3" x14ac:dyDescent="0.25">
      <c r="A119" t="s">
        <v>890</v>
      </c>
      <c r="B119" t="s">
        <v>1267</v>
      </c>
      <c r="C119" t="s">
        <v>953</v>
      </c>
    </row>
    <row r="120" spans="1:3" x14ac:dyDescent="0.25">
      <c r="A120" t="s">
        <v>890</v>
      </c>
      <c r="B120" s="4" t="s">
        <v>1627</v>
      </c>
      <c r="C120" t="s">
        <v>2992</v>
      </c>
    </row>
    <row r="121" spans="1:3" x14ac:dyDescent="0.25">
      <c r="A121" t="s">
        <v>890</v>
      </c>
      <c r="B121" t="s">
        <v>1429</v>
      </c>
      <c r="C121" t="s">
        <v>953</v>
      </c>
    </row>
    <row r="122" spans="1:3" x14ac:dyDescent="0.25">
      <c r="A122" t="s">
        <v>890</v>
      </c>
      <c r="B122" s="4" t="s">
        <v>1815</v>
      </c>
      <c r="C122" t="s">
        <v>2992</v>
      </c>
    </row>
    <row r="123" spans="1:3" x14ac:dyDescent="0.25">
      <c r="A123" t="s">
        <v>890</v>
      </c>
      <c r="B123" t="s">
        <v>2313</v>
      </c>
      <c r="C123" t="s">
        <v>2991</v>
      </c>
    </row>
    <row r="124" spans="1:3" x14ac:dyDescent="0.25">
      <c r="A124" t="s">
        <v>890</v>
      </c>
      <c r="B124" s="4" t="s">
        <v>1556</v>
      </c>
      <c r="C124" t="s">
        <v>2992</v>
      </c>
    </row>
    <row r="125" spans="1:3" x14ac:dyDescent="0.25">
      <c r="A125" t="s">
        <v>890</v>
      </c>
      <c r="B125" t="s">
        <v>3235</v>
      </c>
      <c r="C125" t="s">
        <v>3288</v>
      </c>
    </row>
    <row r="126" spans="1:3" x14ac:dyDescent="0.25">
      <c r="A126" t="s">
        <v>890</v>
      </c>
      <c r="B126" s="4" t="s">
        <v>1554</v>
      </c>
      <c r="C126" t="s">
        <v>2992</v>
      </c>
    </row>
    <row r="127" spans="1:3" x14ac:dyDescent="0.25">
      <c r="A127" t="s">
        <v>890</v>
      </c>
      <c r="B127" t="s">
        <v>2330</v>
      </c>
      <c r="C127" t="s">
        <v>2991</v>
      </c>
    </row>
    <row r="128" spans="1:3" x14ac:dyDescent="0.25">
      <c r="A128" t="s">
        <v>890</v>
      </c>
      <c r="B128" t="s">
        <v>3043</v>
      </c>
      <c r="C128" t="s">
        <v>3288</v>
      </c>
    </row>
    <row r="129" spans="1:3" x14ac:dyDescent="0.25">
      <c r="A129" t="s">
        <v>890</v>
      </c>
      <c r="B129" t="s">
        <v>1441</v>
      </c>
      <c r="C129" t="s">
        <v>953</v>
      </c>
    </row>
    <row r="130" spans="1:3" x14ac:dyDescent="0.25">
      <c r="A130" t="s">
        <v>890</v>
      </c>
      <c r="B130" t="s">
        <v>3199</v>
      </c>
      <c r="C130" t="s">
        <v>3288</v>
      </c>
    </row>
    <row r="131" spans="1:3" x14ac:dyDescent="0.25">
      <c r="A131" t="s">
        <v>890</v>
      </c>
      <c r="B131" t="s">
        <v>1413</v>
      </c>
      <c r="C131" t="s">
        <v>953</v>
      </c>
    </row>
    <row r="132" spans="1:3" x14ac:dyDescent="0.25">
      <c r="A132" t="s">
        <v>890</v>
      </c>
      <c r="B132" t="s">
        <v>2068</v>
      </c>
      <c r="C132" t="s">
        <v>2991</v>
      </c>
    </row>
    <row r="133" spans="1:3" x14ac:dyDescent="0.25">
      <c r="A133" t="s">
        <v>890</v>
      </c>
      <c r="B133" t="s">
        <v>3285</v>
      </c>
      <c r="C133" t="s">
        <v>3288</v>
      </c>
    </row>
    <row r="134" spans="1:3" x14ac:dyDescent="0.25">
      <c r="A134" t="s">
        <v>890</v>
      </c>
      <c r="B134" t="s">
        <v>1520</v>
      </c>
      <c r="C134" t="s">
        <v>953</v>
      </c>
    </row>
    <row r="135" spans="1:3" x14ac:dyDescent="0.25">
      <c r="A135" t="s">
        <v>890</v>
      </c>
      <c r="B135" t="s">
        <v>3026</v>
      </c>
      <c r="C135" t="s">
        <v>3288</v>
      </c>
    </row>
    <row r="136" spans="1:3" x14ac:dyDescent="0.25">
      <c r="A136" t="s">
        <v>890</v>
      </c>
      <c r="B136" t="s">
        <v>2297</v>
      </c>
      <c r="C136" t="s">
        <v>2991</v>
      </c>
    </row>
    <row r="137" spans="1:3" x14ac:dyDescent="0.25">
      <c r="A137" t="s">
        <v>890</v>
      </c>
      <c r="B137" t="s">
        <v>1882</v>
      </c>
      <c r="C137" t="s">
        <v>2991</v>
      </c>
    </row>
    <row r="138" spans="1:3" x14ac:dyDescent="0.25">
      <c r="A138" t="s">
        <v>890</v>
      </c>
      <c r="B138" t="s">
        <v>1129</v>
      </c>
      <c r="C138" t="s">
        <v>953</v>
      </c>
    </row>
    <row r="139" spans="1:3" x14ac:dyDescent="0.25">
      <c r="A139" t="s">
        <v>890</v>
      </c>
      <c r="B139" s="4" t="s">
        <v>1585</v>
      </c>
      <c r="C139" t="s">
        <v>2992</v>
      </c>
    </row>
    <row r="140" spans="1:3" x14ac:dyDescent="0.25">
      <c r="A140" t="s">
        <v>890</v>
      </c>
      <c r="B140" s="4" t="s">
        <v>1725</v>
      </c>
      <c r="C140" t="s">
        <v>2992</v>
      </c>
    </row>
    <row r="141" spans="1:3" x14ac:dyDescent="0.25">
      <c r="A141" t="s">
        <v>890</v>
      </c>
      <c r="B141" t="s">
        <v>2103</v>
      </c>
      <c r="C141" t="s">
        <v>2991</v>
      </c>
    </row>
    <row r="142" spans="1:3" x14ac:dyDescent="0.25">
      <c r="A142" t="s">
        <v>890</v>
      </c>
      <c r="B142" t="s">
        <v>3021</v>
      </c>
      <c r="C142" t="s">
        <v>3288</v>
      </c>
    </row>
    <row r="143" spans="1:3" x14ac:dyDescent="0.25">
      <c r="A143" t="s">
        <v>890</v>
      </c>
      <c r="B143" t="s">
        <v>1309</v>
      </c>
      <c r="C143" t="s">
        <v>953</v>
      </c>
    </row>
    <row r="144" spans="1:3" x14ac:dyDescent="0.25">
      <c r="A144" t="s">
        <v>890</v>
      </c>
      <c r="B144" t="s">
        <v>3096</v>
      </c>
      <c r="C144" t="s">
        <v>3288</v>
      </c>
    </row>
    <row r="145" spans="1:3" x14ac:dyDescent="0.25">
      <c r="A145" t="s">
        <v>890</v>
      </c>
      <c r="B145" s="4" t="s">
        <v>1643</v>
      </c>
      <c r="C145" t="s">
        <v>2992</v>
      </c>
    </row>
    <row r="146" spans="1:3" x14ac:dyDescent="0.25">
      <c r="A146" t="s">
        <v>890</v>
      </c>
      <c r="B146" t="s">
        <v>1518</v>
      </c>
      <c r="C146" t="s">
        <v>953</v>
      </c>
    </row>
    <row r="147" spans="1:3" x14ac:dyDescent="0.25">
      <c r="A147" t="s">
        <v>890</v>
      </c>
      <c r="B147" t="s">
        <v>3025</v>
      </c>
      <c r="C147" t="s">
        <v>3288</v>
      </c>
    </row>
    <row r="148" spans="1:3" x14ac:dyDescent="0.25">
      <c r="A148" t="s">
        <v>890</v>
      </c>
      <c r="B148" t="s">
        <v>3057</v>
      </c>
      <c r="C148" t="s">
        <v>3288</v>
      </c>
    </row>
    <row r="149" spans="1:3" x14ac:dyDescent="0.25">
      <c r="A149" t="s">
        <v>890</v>
      </c>
      <c r="B149" s="4" t="s">
        <v>1771</v>
      </c>
      <c r="C149" t="s">
        <v>2992</v>
      </c>
    </row>
    <row r="150" spans="1:3" x14ac:dyDescent="0.25">
      <c r="A150" t="s">
        <v>890</v>
      </c>
      <c r="B150" t="s">
        <v>1240</v>
      </c>
      <c r="C150" t="s">
        <v>953</v>
      </c>
    </row>
    <row r="151" spans="1:3" x14ac:dyDescent="0.25">
      <c r="A151" t="s">
        <v>890</v>
      </c>
      <c r="B151" t="s">
        <v>2155</v>
      </c>
      <c r="C151" t="s">
        <v>2991</v>
      </c>
    </row>
    <row r="152" spans="1:3" x14ac:dyDescent="0.25">
      <c r="A152" t="s">
        <v>890</v>
      </c>
      <c r="B152" t="s">
        <v>2162</v>
      </c>
      <c r="C152" t="s">
        <v>2991</v>
      </c>
    </row>
    <row r="153" spans="1:3" x14ac:dyDescent="0.25">
      <c r="A153" t="s">
        <v>890</v>
      </c>
      <c r="B153" t="s">
        <v>2189</v>
      </c>
      <c r="C153" t="s">
        <v>2991</v>
      </c>
    </row>
    <row r="154" spans="1:3" x14ac:dyDescent="0.25">
      <c r="A154" t="s">
        <v>890</v>
      </c>
      <c r="B154" t="s">
        <v>3001</v>
      </c>
      <c r="C154" t="s">
        <v>3288</v>
      </c>
    </row>
    <row r="155" spans="1:3" x14ac:dyDescent="0.25">
      <c r="A155" t="s">
        <v>890</v>
      </c>
      <c r="B155" s="4" t="s">
        <v>1617</v>
      </c>
      <c r="C155" t="s">
        <v>2992</v>
      </c>
    </row>
    <row r="156" spans="1:3" x14ac:dyDescent="0.25">
      <c r="A156" t="s">
        <v>890</v>
      </c>
      <c r="B156" s="4" t="s">
        <v>1600</v>
      </c>
      <c r="C156" t="s">
        <v>2992</v>
      </c>
    </row>
    <row r="157" spans="1:3" x14ac:dyDescent="0.25">
      <c r="A157" t="s">
        <v>890</v>
      </c>
      <c r="B157" t="s">
        <v>2389</v>
      </c>
      <c r="C157" t="s">
        <v>2991</v>
      </c>
    </row>
    <row r="158" spans="1:3" x14ac:dyDescent="0.25">
      <c r="A158" t="s">
        <v>890</v>
      </c>
      <c r="B158" t="s">
        <v>3239</v>
      </c>
      <c r="C158" t="s">
        <v>3288</v>
      </c>
    </row>
    <row r="159" spans="1:3" x14ac:dyDescent="0.25">
      <c r="A159" t="s">
        <v>890</v>
      </c>
      <c r="B159" t="s">
        <v>2043</v>
      </c>
      <c r="C159" t="s">
        <v>2991</v>
      </c>
    </row>
    <row r="160" spans="1:3" x14ac:dyDescent="0.25">
      <c r="A160" t="s">
        <v>890</v>
      </c>
      <c r="B160" s="4" t="s">
        <v>1699</v>
      </c>
      <c r="C160" t="s">
        <v>2992</v>
      </c>
    </row>
    <row r="161" spans="1:3" x14ac:dyDescent="0.25">
      <c r="A161" t="s">
        <v>890</v>
      </c>
      <c r="B161" t="s">
        <v>2385</v>
      </c>
      <c r="C161" t="s">
        <v>2991</v>
      </c>
    </row>
    <row r="162" spans="1:3" x14ac:dyDescent="0.25">
      <c r="A162" t="s">
        <v>890</v>
      </c>
      <c r="B162" s="4" t="s">
        <v>1573</v>
      </c>
      <c r="C162" t="s">
        <v>2992</v>
      </c>
    </row>
    <row r="163" spans="1:3" x14ac:dyDescent="0.25">
      <c r="A163" t="s">
        <v>890</v>
      </c>
      <c r="B163" t="s">
        <v>3206</v>
      </c>
      <c r="C163" t="s">
        <v>3288</v>
      </c>
    </row>
    <row r="164" spans="1:3" x14ac:dyDescent="0.25">
      <c r="A164" t="s">
        <v>890</v>
      </c>
      <c r="B164" t="s">
        <v>1422</v>
      </c>
      <c r="C164" t="s">
        <v>953</v>
      </c>
    </row>
    <row r="165" spans="1:3" x14ac:dyDescent="0.25">
      <c r="A165" t="s">
        <v>890</v>
      </c>
      <c r="B165" s="4" t="s">
        <v>1550</v>
      </c>
      <c r="C165" t="s">
        <v>2992</v>
      </c>
    </row>
    <row r="166" spans="1:3" x14ac:dyDescent="0.25">
      <c r="A166" t="s">
        <v>890</v>
      </c>
      <c r="B166" s="4" t="s">
        <v>1599</v>
      </c>
      <c r="C166" t="s">
        <v>2992</v>
      </c>
    </row>
    <row r="167" spans="1:3" x14ac:dyDescent="0.25">
      <c r="A167" t="s">
        <v>890</v>
      </c>
      <c r="B167" t="s">
        <v>1840</v>
      </c>
      <c r="C167" t="s">
        <v>2991</v>
      </c>
    </row>
    <row r="168" spans="1:3" x14ac:dyDescent="0.25">
      <c r="A168" t="s">
        <v>890</v>
      </c>
      <c r="B168" t="s">
        <v>3000</v>
      </c>
      <c r="C168" t="s">
        <v>3288</v>
      </c>
    </row>
    <row r="169" spans="1:3" x14ac:dyDescent="0.25">
      <c r="A169" t="s">
        <v>890</v>
      </c>
      <c r="B169" t="s">
        <v>3156</v>
      </c>
      <c r="C169" t="s">
        <v>3288</v>
      </c>
    </row>
    <row r="170" spans="1:3" x14ac:dyDescent="0.25">
      <c r="A170" t="s">
        <v>890</v>
      </c>
      <c r="B170" t="s">
        <v>3279</v>
      </c>
      <c r="C170" t="s">
        <v>3288</v>
      </c>
    </row>
    <row r="171" spans="1:3" x14ac:dyDescent="0.25">
      <c r="A171" t="s">
        <v>890</v>
      </c>
      <c r="B171" t="s">
        <v>1513</v>
      </c>
      <c r="C171" t="s">
        <v>953</v>
      </c>
    </row>
    <row r="172" spans="1:3" x14ac:dyDescent="0.25">
      <c r="A172" t="s">
        <v>890</v>
      </c>
      <c r="B172" t="s">
        <v>2997</v>
      </c>
      <c r="C172" t="s">
        <v>3288</v>
      </c>
    </row>
    <row r="173" spans="1:3" x14ac:dyDescent="0.25">
      <c r="A173" t="s">
        <v>890</v>
      </c>
      <c r="B173" s="4" t="s">
        <v>1708</v>
      </c>
      <c r="C173" t="s">
        <v>2992</v>
      </c>
    </row>
    <row r="174" spans="1:3" x14ac:dyDescent="0.25">
      <c r="A174" t="s">
        <v>890</v>
      </c>
      <c r="B174" t="s">
        <v>2403</v>
      </c>
      <c r="C174" t="s">
        <v>2991</v>
      </c>
    </row>
    <row r="175" spans="1:3" x14ac:dyDescent="0.25">
      <c r="A175" t="s">
        <v>890</v>
      </c>
      <c r="B175" t="s">
        <v>1029</v>
      </c>
      <c r="C175" t="s">
        <v>953</v>
      </c>
    </row>
    <row r="176" spans="1:3" x14ac:dyDescent="0.25">
      <c r="A176" t="s">
        <v>890</v>
      </c>
      <c r="B176" s="4" t="s">
        <v>1726</v>
      </c>
      <c r="C176" t="s">
        <v>2992</v>
      </c>
    </row>
    <row r="177" spans="1:3" x14ac:dyDescent="0.25">
      <c r="A177" t="s">
        <v>890</v>
      </c>
      <c r="B177" t="s">
        <v>2141</v>
      </c>
      <c r="C177" t="s">
        <v>2991</v>
      </c>
    </row>
    <row r="178" spans="1:3" x14ac:dyDescent="0.25">
      <c r="A178" t="s">
        <v>890</v>
      </c>
      <c r="B178" s="4" t="s">
        <v>1572</v>
      </c>
      <c r="C178" t="s">
        <v>2992</v>
      </c>
    </row>
    <row r="179" spans="1:3" x14ac:dyDescent="0.25">
      <c r="A179" t="s">
        <v>890</v>
      </c>
      <c r="B179" t="s">
        <v>3102</v>
      </c>
      <c r="C179" t="s">
        <v>3288</v>
      </c>
    </row>
    <row r="180" spans="1:3" x14ac:dyDescent="0.25">
      <c r="A180" t="s">
        <v>890</v>
      </c>
      <c r="B180" t="s">
        <v>1411</v>
      </c>
      <c r="C180" t="s">
        <v>953</v>
      </c>
    </row>
    <row r="181" spans="1:3" x14ac:dyDescent="0.25">
      <c r="A181" t="s">
        <v>890</v>
      </c>
      <c r="B181" t="s">
        <v>2429</v>
      </c>
      <c r="C181" t="s">
        <v>2991</v>
      </c>
    </row>
    <row r="182" spans="1:3" x14ac:dyDescent="0.25">
      <c r="A182" t="s">
        <v>890</v>
      </c>
      <c r="B182" s="4" t="s">
        <v>1788</v>
      </c>
      <c r="C182" t="s">
        <v>2992</v>
      </c>
    </row>
    <row r="183" spans="1:3" x14ac:dyDescent="0.25">
      <c r="A183" t="s">
        <v>890</v>
      </c>
      <c r="B183" t="s">
        <v>3137</v>
      </c>
      <c r="C183" t="s">
        <v>3288</v>
      </c>
    </row>
    <row r="184" spans="1:3" x14ac:dyDescent="0.25">
      <c r="A184" t="s">
        <v>890</v>
      </c>
      <c r="B184" t="s">
        <v>2052</v>
      </c>
      <c r="C184" t="s">
        <v>2991</v>
      </c>
    </row>
    <row r="185" spans="1:3" x14ac:dyDescent="0.25">
      <c r="A185" t="s">
        <v>890</v>
      </c>
      <c r="B185" s="4" t="s">
        <v>1637</v>
      </c>
      <c r="C185" t="s">
        <v>2992</v>
      </c>
    </row>
    <row r="186" spans="1:3" x14ac:dyDescent="0.25">
      <c r="A186" t="s">
        <v>890</v>
      </c>
      <c r="B186" t="s">
        <v>3219</v>
      </c>
      <c r="C186" t="s">
        <v>3288</v>
      </c>
    </row>
    <row r="187" spans="1:3" x14ac:dyDescent="0.25">
      <c r="A187" t="s">
        <v>890</v>
      </c>
      <c r="B187" t="s">
        <v>2115</v>
      </c>
      <c r="C187" t="s">
        <v>2991</v>
      </c>
    </row>
    <row r="188" spans="1:3" x14ac:dyDescent="0.25">
      <c r="A188" t="s">
        <v>890</v>
      </c>
      <c r="B188" t="s">
        <v>3274</v>
      </c>
      <c r="C188" t="s">
        <v>3288</v>
      </c>
    </row>
    <row r="189" spans="1:3" x14ac:dyDescent="0.25">
      <c r="A189" t="s">
        <v>890</v>
      </c>
      <c r="B189" t="s">
        <v>2439</v>
      </c>
      <c r="C189" t="s">
        <v>2991</v>
      </c>
    </row>
    <row r="190" spans="1:3" x14ac:dyDescent="0.25">
      <c r="A190" t="s">
        <v>890</v>
      </c>
      <c r="B190" s="4" t="s">
        <v>1557</v>
      </c>
      <c r="C190" t="s">
        <v>2992</v>
      </c>
    </row>
    <row r="191" spans="1:3" x14ac:dyDescent="0.25">
      <c r="A191" t="s">
        <v>890</v>
      </c>
      <c r="B191" s="4" t="s">
        <v>1589</v>
      </c>
      <c r="C191" t="s">
        <v>2992</v>
      </c>
    </row>
    <row r="192" spans="1:3" x14ac:dyDescent="0.25">
      <c r="A192" t="s">
        <v>890</v>
      </c>
      <c r="B192" s="4" t="s">
        <v>1544</v>
      </c>
      <c r="C192" t="s">
        <v>2992</v>
      </c>
    </row>
    <row r="193" spans="1:3" x14ac:dyDescent="0.25">
      <c r="A193" t="s">
        <v>890</v>
      </c>
      <c r="B193" s="4" t="s">
        <v>1632</v>
      </c>
      <c r="C193" t="s">
        <v>2992</v>
      </c>
    </row>
    <row r="194" spans="1:3" x14ac:dyDescent="0.25">
      <c r="A194" t="s">
        <v>890</v>
      </c>
      <c r="B194" t="s">
        <v>1487</v>
      </c>
      <c r="C194" t="s">
        <v>953</v>
      </c>
    </row>
    <row r="195" spans="1:3" x14ac:dyDescent="0.25">
      <c r="A195" t="s">
        <v>890</v>
      </c>
      <c r="B195" t="s">
        <v>2287</v>
      </c>
      <c r="C195" t="s">
        <v>2991</v>
      </c>
    </row>
    <row r="196" spans="1:3" x14ac:dyDescent="0.25">
      <c r="A196" t="s">
        <v>890</v>
      </c>
      <c r="B196" t="s">
        <v>2402</v>
      </c>
      <c r="C196" t="s">
        <v>2991</v>
      </c>
    </row>
    <row r="197" spans="1:3" x14ac:dyDescent="0.25">
      <c r="A197" t="s">
        <v>890</v>
      </c>
      <c r="B197" t="s">
        <v>1354</v>
      </c>
      <c r="C197" t="s">
        <v>953</v>
      </c>
    </row>
    <row r="198" spans="1:3" x14ac:dyDescent="0.25">
      <c r="A198" t="s">
        <v>890</v>
      </c>
      <c r="B198" t="s">
        <v>1167</v>
      </c>
      <c r="C198" t="s">
        <v>953</v>
      </c>
    </row>
    <row r="199" spans="1:3" x14ac:dyDescent="0.25">
      <c r="A199" t="s">
        <v>890</v>
      </c>
      <c r="B199" t="s">
        <v>2003</v>
      </c>
      <c r="C199" t="s">
        <v>2991</v>
      </c>
    </row>
    <row r="200" spans="1:3" x14ac:dyDescent="0.25">
      <c r="A200" t="s">
        <v>890</v>
      </c>
      <c r="B200" s="4" t="s">
        <v>1564</v>
      </c>
      <c r="C200" t="s">
        <v>2992</v>
      </c>
    </row>
    <row r="201" spans="1:3" x14ac:dyDescent="0.25">
      <c r="A201" t="s">
        <v>890</v>
      </c>
      <c r="B201" t="s">
        <v>2252</v>
      </c>
      <c r="C201" t="s">
        <v>2991</v>
      </c>
    </row>
    <row r="202" spans="1:3" x14ac:dyDescent="0.25">
      <c r="A202" t="s">
        <v>890</v>
      </c>
      <c r="B202" t="s">
        <v>3028</v>
      </c>
      <c r="C202" t="s">
        <v>3288</v>
      </c>
    </row>
    <row r="203" spans="1:3" x14ac:dyDescent="0.25">
      <c r="A203" t="s">
        <v>890</v>
      </c>
      <c r="B203" t="s">
        <v>2272</v>
      </c>
      <c r="C203" t="s">
        <v>2991</v>
      </c>
    </row>
    <row r="204" spans="1:3" x14ac:dyDescent="0.25">
      <c r="A204" t="s">
        <v>890</v>
      </c>
      <c r="B204" s="4" t="s">
        <v>1680</v>
      </c>
      <c r="C204" t="s">
        <v>2992</v>
      </c>
    </row>
    <row r="205" spans="1:3" x14ac:dyDescent="0.25">
      <c r="A205" t="s">
        <v>890</v>
      </c>
      <c r="B205" s="4" t="s">
        <v>1647</v>
      </c>
      <c r="C205" t="s">
        <v>2992</v>
      </c>
    </row>
    <row r="206" spans="1:3" x14ac:dyDescent="0.25">
      <c r="A206" t="s">
        <v>890</v>
      </c>
      <c r="B206" t="s">
        <v>2095</v>
      </c>
      <c r="C206" t="s">
        <v>2991</v>
      </c>
    </row>
    <row r="207" spans="1:3" x14ac:dyDescent="0.25">
      <c r="A207" t="s">
        <v>890</v>
      </c>
      <c r="B207" s="4" t="s">
        <v>1799</v>
      </c>
      <c r="C207" t="s">
        <v>2992</v>
      </c>
    </row>
    <row r="208" spans="1:3" x14ac:dyDescent="0.25">
      <c r="A208" t="s">
        <v>890</v>
      </c>
      <c r="B208" t="s">
        <v>3155</v>
      </c>
      <c r="C208" t="s">
        <v>3288</v>
      </c>
    </row>
    <row r="209" spans="1:3" x14ac:dyDescent="0.25">
      <c r="A209" t="s">
        <v>890</v>
      </c>
      <c r="B209" t="s">
        <v>2004</v>
      </c>
      <c r="C209" t="s">
        <v>2991</v>
      </c>
    </row>
    <row r="210" spans="1:3" x14ac:dyDescent="0.25">
      <c r="A210" t="s">
        <v>890</v>
      </c>
      <c r="B210" t="s">
        <v>1197</v>
      </c>
      <c r="C210" t="s">
        <v>953</v>
      </c>
    </row>
    <row r="211" spans="1:3" x14ac:dyDescent="0.25">
      <c r="A211" t="s">
        <v>890</v>
      </c>
      <c r="B211" s="4" t="s">
        <v>1801</v>
      </c>
      <c r="C211" t="s">
        <v>2992</v>
      </c>
    </row>
    <row r="212" spans="1:3" x14ac:dyDescent="0.25">
      <c r="A212" t="s">
        <v>890</v>
      </c>
      <c r="B212" t="s">
        <v>2007</v>
      </c>
      <c r="C212" t="s">
        <v>2991</v>
      </c>
    </row>
    <row r="213" spans="1:3" x14ac:dyDescent="0.25">
      <c r="A213" t="s">
        <v>890</v>
      </c>
      <c r="B213" t="s">
        <v>1178</v>
      </c>
      <c r="C213" t="s">
        <v>953</v>
      </c>
    </row>
    <row r="214" spans="1:3" x14ac:dyDescent="0.25">
      <c r="A214" t="s">
        <v>890</v>
      </c>
      <c r="B214" s="4" t="s">
        <v>1738</v>
      </c>
      <c r="C214" t="s">
        <v>2992</v>
      </c>
    </row>
    <row r="215" spans="1:3" x14ac:dyDescent="0.25">
      <c r="A215" t="s">
        <v>890</v>
      </c>
      <c r="B215" s="4" t="s">
        <v>1624</v>
      </c>
      <c r="C215" t="s">
        <v>2992</v>
      </c>
    </row>
    <row r="216" spans="1:3" x14ac:dyDescent="0.25">
      <c r="A216" t="s">
        <v>890</v>
      </c>
      <c r="B216" t="s">
        <v>1088</v>
      </c>
      <c r="C216" t="s">
        <v>953</v>
      </c>
    </row>
    <row r="217" spans="1:3" x14ac:dyDescent="0.25">
      <c r="A217" t="s">
        <v>890</v>
      </c>
      <c r="B217" t="s">
        <v>1374</v>
      </c>
      <c r="C217" t="s">
        <v>953</v>
      </c>
    </row>
    <row r="218" spans="1:3" x14ac:dyDescent="0.25">
      <c r="A218" t="s">
        <v>890</v>
      </c>
      <c r="B218" s="4" t="s">
        <v>1749</v>
      </c>
      <c r="C218" t="s">
        <v>2992</v>
      </c>
    </row>
    <row r="219" spans="1:3" x14ac:dyDescent="0.25">
      <c r="A219" t="s">
        <v>890</v>
      </c>
      <c r="B219" t="s">
        <v>1495</v>
      </c>
      <c r="C219" t="s">
        <v>953</v>
      </c>
    </row>
    <row r="220" spans="1:3" x14ac:dyDescent="0.25">
      <c r="A220" t="s">
        <v>890</v>
      </c>
      <c r="B220" t="s">
        <v>1303</v>
      </c>
      <c r="C220" t="s">
        <v>953</v>
      </c>
    </row>
    <row r="221" spans="1:3" x14ac:dyDescent="0.25">
      <c r="A221" t="s">
        <v>890</v>
      </c>
      <c r="B221" s="4" t="s">
        <v>1698</v>
      </c>
      <c r="C221" t="s">
        <v>2992</v>
      </c>
    </row>
    <row r="222" spans="1:3" x14ac:dyDescent="0.25">
      <c r="A222" t="s">
        <v>890</v>
      </c>
      <c r="B222" t="s">
        <v>3059</v>
      </c>
      <c r="C222" t="s">
        <v>3288</v>
      </c>
    </row>
    <row r="223" spans="1:3" x14ac:dyDescent="0.25">
      <c r="A223" t="s">
        <v>890</v>
      </c>
      <c r="B223" s="4" t="s">
        <v>1810</v>
      </c>
      <c r="C223" t="s">
        <v>2992</v>
      </c>
    </row>
    <row r="224" spans="1:3" x14ac:dyDescent="0.25">
      <c r="A224" t="s">
        <v>890</v>
      </c>
      <c r="B224" t="s">
        <v>1989</v>
      </c>
      <c r="C224" t="s">
        <v>2991</v>
      </c>
    </row>
    <row r="225" spans="1:3" x14ac:dyDescent="0.25">
      <c r="A225" t="s">
        <v>890</v>
      </c>
      <c r="B225" s="4" t="s">
        <v>1619</v>
      </c>
      <c r="C225" t="s">
        <v>2992</v>
      </c>
    </row>
    <row r="226" spans="1:3" x14ac:dyDescent="0.25">
      <c r="A226" t="s">
        <v>890</v>
      </c>
      <c r="B226" t="s">
        <v>1324</v>
      </c>
      <c r="C226" t="s">
        <v>953</v>
      </c>
    </row>
    <row r="227" spans="1:3" x14ac:dyDescent="0.25">
      <c r="A227" t="s">
        <v>890</v>
      </c>
      <c r="B227" t="s">
        <v>3268</v>
      </c>
      <c r="C227" t="s">
        <v>3288</v>
      </c>
    </row>
    <row r="228" spans="1:3" x14ac:dyDescent="0.25">
      <c r="A228" t="s">
        <v>890</v>
      </c>
      <c r="B228" t="s">
        <v>2256</v>
      </c>
      <c r="C228" t="s">
        <v>2991</v>
      </c>
    </row>
    <row r="229" spans="1:3" x14ac:dyDescent="0.25">
      <c r="A229" t="s">
        <v>890</v>
      </c>
      <c r="B229" t="s">
        <v>1148</v>
      </c>
      <c r="C229" t="s">
        <v>953</v>
      </c>
    </row>
    <row r="230" spans="1:3" x14ac:dyDescent="0.25">
      <c r="A230" t="s">
        <v>890</v>
      </c>
      <c r="B230" t="s">
        <v>3086</v>
      </c>
      <c r="C230" t="s">
        <v>3288</v>
      </c>
    </row>
    <row r="231" spans="1:3" x14ac:dyDescent="0.25">
      <c r="A231" t="s">
        <v>890</v>
      </c>
      <c r="B231" t="s">
        <v>1990</v>
      </c>
      <c r="C231" t="s">
        <v>2991</v>
      </c>
    </row>
    <row r="232" spans="1:3" x14ac:dyDescent="0.25">
      <c r="A232" t="s">
        <v>890</v>
      </c>
      <c r="B232" s="4" t="s">
        <v>1667</v>
      </c>
      <c r="C232" t="s">
        <v>2992</v>
      </c>
    </row>
    <row r="233" spans="1:3" x14ac:dyDescent="0.25">
      <c r="A233" t="s">
        <v>890</v>
      </c>
      <c r="B233" t="s">
        <v>1465</v>
      </c>
      <c r="C233" t="s">
        <v>953</v>
      </c>
    </row>
    <row r="234" spans="1:3" x14ac:dyDescent="0.25">
      <c r="A234" t="s">
        <v>890</v>
      </c>
      <c r="B234" t="s">
        <v>3273</v>
      </c>
      <c r="C234" t="s">
        <v>3288</v>
      </c>
    </row>
    <row r="235" spans="1:3" x14ac:dyDescent="0.25">
      <c r="A235" t="s">
        <v>890</v>
      </c>
      <c r="B235" t="s">
        <v>1139</v>
      </c>
      <c r="C235" t="s">
        <v>953</v>
      </c>
    </row>
    <row r="236" spans="1:3" x14ac:dyDescent="0.25">
      <c r="A236" t="s">
        <v>890</v>
      </c>
      <c r="B236" t="s">
        <v>2034</v>
      </c>
      <c r="C236" t="s">
        <v>2991</v>
      </c>
    </row>
    <row r="237" spans="1:3" x14ac:dyDescent="0.25">
      <c r="A237" t="s">
        <v>890</v>
      </c>
      <c r="B237" s="4" t="s">
        <v>1709</v>
      </c>
      <c r="C237" t="s">
        <v>2992</v>
      </c>
    </row>
    <row r="238" spans="1:3" x14ac:dyDescent="0.25">
      <c r="A238" t="s">
        <v>890</v>
      </c>
      <c r="B238" t="s">
        <v>2337</v>
      </c>
      <c r="C238" t="s">
        <v>2991</v>
      </c>
    </row>
    <row r="239" spans="1:3" x14ac:dyDescent="0.25">
      <c r="A239" t="s">
        <v>890</v>
      </c>
      <c r="B239" t="s">
        <v>1291</v>
      </c>
      <c r="C239" t="s">
        <v>953</v>
      </c>
    </row>
    <row r="240" spans="1:3" x14ac:dyDescent="0.25">
      <c r="A240" t="s">
        <v>890</v>
      </c>
      <c r="B240" s="4" t="s">
        <v>1566</v>
      </c>
      <c r="C240" t="s">
        <v>2992</v>
      </c>
    </row>
    <row r="241" spans="1:3" x14ac:dyDescent="0.25">
      <c r="A241" t="s">
        <v>890</v>
      </c>
      <c r="B241" s="4" t="s">
        <v>1582</v>
      </c>
      <c r="C241" t="s">
        <v>2992</v>
      </c>
    </row>
    <row r="242" spans="1:3" x14ac:dyDescent="0.25">
      <c r="A242" t="s">
        <v>890</v>
      </c>
      <c r="B242" s="4" t="s">
        <v>1679</v>
      </c>
      <c r="C242" t="s">
        <v>2992</v>
      </c>
    </row>
    <row r="243" spans="1:3" x14ac:dyDescent="0.25">
      <c r="A243" t="s">
        <v>890</v>
      </c>
      <c r="B243" t="s">
        <v>1482</v>
      </c>
      <c r="C243" t="s">
        <v>953</v>
      </c>
    </row>
    <row r="244" spans="1:3" x14ac:dyDescent="0.25">
      <c r="A244" t="s">
        <v>890</v>
      </c>
      <c r="B244" t="s">
        <v>1484</v>
      </c>
      <c r="C244" t="s">
        <v>953</v>
      </c>
    </row>
    <row r="245" spans="1:3" x14ac:dyDescent="0.25">
      <c r="A245" t="s">
        <v>890</v>
      </c>
      <c r="B245" t="s">
        <v>2441</v>
      </c>
      <c r="C245" t="s">
        <v>2991</v>
      </c>
    </row>
    <row r="246" spans="1:3" x14ac:dyDescent="0.25">
      <c r="A246" t="s">
        <v>890</v>
      </c>
      <c r="B246" t="s">
        <v>1854</v>
      </c>
      <c r="C246" t="s">
        <v>2991</v>
      </c>
    </row>
    <row r="247" spans="1:3" x14ac:dyDescent="0.25">
      <c r="A247" t="s">
        <v>890</v>
      </c>
      <c r="B247" t="s">
        <v>1870</v>
      </c>
      <c r="C247" t="s">
        <v>2991</v>
      </c>
    </row>
    <row r="248" spans="1:3" x14ac:dyDescent="0.25">
      <c r="A248" t="s">
        <v>890</v>
      </c>
      <c r="B248" t="s">
        <v>1448</v>
      </c>
      <c r="C248" t="s">
        <v>953</v>
      </c>
    </row>
    <row r="249" spans="1:3" x14ac:dyDescent="0.25">
      <c r="A249" t="s">
        <v>890</v>
      </c>
      <c r="B249" t="s">
        <v>1472</v>
      </c>
      <c r="C249" t="s">
        <v>953</v>
      </c>
    </row>
    <row r="250" spans="1:3" x14ac:dyDescent="0.25">
      <c r="A250" t="s">
        <v>890</v>
      </c>
      <c r="B250" t="s">
        <v>1470</v>
      </c>
      <c r="C250" t="s">
        <v>953</v>
      </c>
    </row>
    <row r="251" spans="1:3" x14ac:dyDescent="0.25">
      <c r="A251" t="s">
        <v>890</v>
      </c>
      <c r="B251" t="s">
        <v>1359</v>
      </c>
      <c r="C251" t="s">
        <v>953</v>
      </c>
    </row>
    <row r="252" spans="1:3" x14ac:dyDescent="0.25">
      <c r="A252" t="s">
        <v>890</v>
      </c>
      <c r="B252" s="4" t="s">
        <v>1713</v>
      </c>
      <c r="C252" t="s">
        <v>2992</v>
      </c>
    </row>
    <row r="253" spans="1:3" x14ac:dyDescent="0.25">
      <c r="A253" t="s">
        <v>890</v>
      </c>
      <c r="B253" t="s">
        <v>2128</v>
      </c>
      <c r="C253" t="s">
        <v>2991</v>
      </c>
    </row>
    <row r="254" spans="1:3" x14ac:dyDescent="0.25">
      <c r="A254" t="s">
        <v>890</v>
      </c>
      <c r="B254" s="4" t="s">
        <v>1614</v>
      </c>
      <c r="C254" t="s">
        <v>2992</v>
      </c>
    </row>
    <row r="255" spans="1:3" x14ac:dyDescent="0.25">
      <c r="A255" t="s">
        <v>890</v>
      </c>
      <c r="B255" t="s">
        <v>1224</v>
      </c>
      <c r="C255" t="s">
        <v>953</v>
      </c>
    </row>
    <row r="256" spans="1:3" x14ac:dyDescent="0.25">
      <c r="A256" t="s">
        <v>890</v>
      </c>
      <c r="B256" t="s">
        <v>3033</v>
      </c>
      <c r="C256" t="s">
        <v>3288</v>
      </c>
    </row>
    <row r="257" spans="1:3" x14ac:dyDescent="0.25">
      <c r="A257" t="s">
        <v>890</v>
      </c>
      <c r="B257" t="s">
        <v>3135</v>
      </c>
      <c r="C257" t="s">
        <v>3288</v>
      </c>
    </row>
    <row r="258" spans="1:3" x14ac:dyDescent="0.25">
      <c r="A258" t="s">
        <v>890</v>
      </c>
      <c r="B258" s="4" t="s">
        <v>1805</v>
      </c>
      <c r="C258" t="s">
        <v>2992</v>
      </c>
    </row>
    <row r="259" spans="1:3" x14ac:dyDescent="0.25">
      <c r="A259" t="s">
        <v>890</v>
      </c>
      <c r="B259" t="s">
        <v>2283</v>
      </c>
      <c r="C259" t="s">
        <v>2991</v>
      </c>
    </row>
    <row r="260" spans="1:3" x14ac:dyDescent="0.25">
      <c r="A260" t="s">
        <v>890</v>
      </c>
      <c r="B260" t="s">
        <v>1116</v>
      </c>
      <c r="C260" t="s">
        <v>953</v>
      </c>
    </row>
    <row r="261" spans="1:3" x14ac:dyDescent="0.25">
      <c r="A261" t="s">
        <v>890</v>
      </c>
      <c r="B261" s="4" t="s">
        <v>1625</v>
      </c>
      <c r="C261" t="s">
        <v>2992</v>
      </c>
    </row>
    <row r="262" spans="1:3" x14ac:dyDescent="0.25">
      <c r="A262" t="s">
        <v>890</v>
      </c>
      <c r="B262" t="s">
        <v>1387</v>
      </c>
      <c r="C262" t="s">
        <v>953</v>
      </c>
    </row>
    <row r="263" spans="1:3" x14ac:dyDescent="0.25">
      <c r="A263" t="s">
        <v>890</v>
      </c>
      <c r="B263" t="s">
        <v>2079</v>
      </c>
      <c r="C263" t="s">
        <v>2991</v>
      </c>
    </row>
    <row r="264" spans="1:3" x14ac:dyDescent="0.25">
      <c r="A264" t="s">
        <v>890</v>
      </c>
      <c r="B264" t="s">
        <v>1954</v>
      </c>
      <c r="C264" t="s">
        <v>2991</v>
      </c>
    </row>
    <row r="265" spans="1:3" x14ac:dyDescent="0.25">
      <c r="A265" t="s">
        <v>890</v>
      </c>
      <c r="B265" t="s">
        <v>3259</v>
      </c>
      <c r="C265" t="s">
        <v>3288</v>
      </c>
    </row>
    <row r="266" spans="1:3" x14ac:dyDescent="0.25">
      <c r="A266" t="s">
        <v>890</v>
      </c>
      <c r="B266" s="4" t="s">
        <v>1598</v>
      </c>
      <c r="C266" t="s">
        <v>2992</v>
      </c>
    </row>
    <row r="267" spans="1:3" x14ac:dyDescent="0.25">
      <c r="A267" t="s">
        <v>890</v>
      </c>
      <c r="B267" t="s">
        <v>1164</v>
      </c>
      <c r="C267" t="s">
        <v>953</v>
      </c>
    </row>
    <row r="268" spans="1:3" x14ac:dyDescent="0.25">
      <c r="A268" t="s">
        <v>890</v>
      </c>
      <c r="B268" s="4" t="s">
        <v>1790</v>
      </c>
      <c r="C268" t="s">
        <v>2992</v>
      </c>
    </row>
    <row r="269" spans="1:3" x14ac:dyDescent="0.25">
      <c r="A269" t="s">
        <v>890</v>
      </c>
      <c r="B269" t="s">
        <v>1298</v>
      </c>
      <c r="C269" t="s">
        <v>953</v>
      </c>
    </row>
    <row r="270" spans="1:3" x14ac:dyDescent="0.25">
      <c r="A270" t="s">
        <v>890</v>
      </c>
      <c r="B270" t="s">
        <v>2105</v>
      </c>
      <c r="C270" t="s">
        <v>2991</v>
      </c>
    </row>
    <row r="271" spans="1:3" x14ac:dyDescent="0.25">
      <c r="A271" t="s">
        <v>890</v>
      </c>
      <c r="B271" t="s">
        <v>2994</v>
      </c>
      <c r="C271" t="s">
        <v>3288</v>
      </c>
    </row>
    <row r="272" spans="1:3" x14ac:dyDescent="0.25">
      <c r="A272" t="s">
        <v>890</v>
      </c>
      <c r="B272" t="s">
        <v>2410</v>
      </c>
      <c r="C272" t="s">
        <v>2991</v>
      </c>
    </row>
    <row r="273" spans="1:3" x14ac:dyDescent="0.25">
      <c r="A273" t="s">
        <v>890</v>
      </c>
      <c r="B273" t="s">
        <v>1491</v>
      </c>
      <c r="C273" t="s">
        <v>953</v>
      </c>
    </row>
    <row r="274" spans="1:3" x14ac:dyDescent="0.25">
      <c r="A274" t="s">
        <v>890</v>
      </c>
      <c r="B274" t="s">
        <v>1995</v>
      </c>
      <c r="C274" t="s">
        <v>2991</v>
      </c>
    </row>
    <row r="275" spans="1:3" x14ac:dyDescent="0.25">
      <c r="A275" t="s">
        <v>890</v>
      </c>
      <c r="B275" s="4" t="s">
        <v>1748</v>
      </c>
      <c r="C275" t="s">
        <v>2992</v>
      </c>
    </row>
    <row r="276" spans="1:3" x14ac:dyDescent="0.25">
      <c r="A276" t="s">
        <v>890</v>
      </c>
      <c r="B276" t="s">
        <v>1385</v>
      </c>
      <c r="C276" t="s">
        <v>953</v>
      </c>
    </row>
    <row r="277" spans="1:3" x14ac:dyDescent="0.25">
      <c r="A277" t="s">
        <v>890</v>
      </c>
      <c r="B277" t="s">
        <v>1341</v>
      </c>
      <c r="C277" t="s">
        <v>953</v>
      </c>
    </row>
    <row r="278" spans="1:3" x14ac:dyDescent="0.25">
      <c r="A278" t="s">
        <v>890</v>
      </c>
      <c r="B278" s="4" t="s">
        <v>1689</v>
      </c>
      <c r="C278" t="s">
        <v>2992</v>
      </c>
    </row>
    <row r="279" spans="1:3" x14ac:dyDescent="0.25">
      <c r="A279" t="s">
        <v>890</v>
      </c>
      <c r="B279" s="4" t="s">
        <v>1545</v>
      </c>
      <c r="C279" t="s">
        <v>2992</v>
      </c>
    </row>
    <row r="280" spans="1:3" x14ac:dyDescent="0.25">
      <c r="A280" t="s">
        <v>890</v>
      </c>
      <c r="B280" t="s">
        <v>1172</v>
      </c>
      <c r="C280" t="s">
        <v>953</v>
      </c>
    </row>
    <row r="281" spans="1:3" x14ac:dyDescent="0.25">
      <c r="A281" t="s">
        <v>890</v>
      </c>
      <c r="B281" t="s">
        <v>1490</v>
      </c>
      <c r="C281" t="s">
        <v>953</v>
      </c>
    </row>
    <row r="282" spans="1:3" x14ac:dyDescent="0.25">
      <c r="A282" t="s">
        <v>890</v>
      </c>
      <c r="B282" t="s">
        <v>1229</v>
      </c>
      <c r="C282" t="s">
        <v>953</v>
      </c>
    </row>
    <row r="283" spans="1:3" x14ac:dyDescent="0.25">
      <c r="A283" t="s">
        <v>890</v>
      </c>
      <c r="B283" t="s">
        <v>3220</v>
      </c>
      <c r="C283" t="s">
        <v>3288</v>
      </c>
    </row>
    <row r="284" spans="1:3" x14ac:dyDescent="0.25">
      <c r="A284" t="s">
        <v>890</v>
      </c>
      <c r="B284" t="s">
        <v>2156</v>
      </c>
      <c r="C284" t="s">
        <v>2991</v>
      </c>
    </row>
    <row r="285" spans="1:3" x14ac:dyDescent="0.25">
      <c r="A285" t="s">
        <v>890</v>
      </c>
      <c r="B285" t="s">
        <v>3010</v>
      </c>
      <c r="C285" t="s">
        <v>3288</v>
      </c>
    </row>
    <row r="286" spans="1:3" x14ac:dyDescent="0.25">
      <c r="A286" t="s">
        <v>890</v>
      </c>
      <c r="B286" s="4" t="s">
        <v>1563</v>
      </c>
      <c r="C286" t="s">
        <v>2992</v>
      </c>
    </row>
    <row r="287" spans="1:3" x14ac:dyDescent="0.25">
      <c r="A287" t="s">
        <v>890</v>
      </c>
      <c r="B287" t="s">
        <v>3238</v>
      </c>
      <c r="C287" t="s">
        <v>3288</v>
      </c>
    </row>
    <row r="288" spans="1:3" x14ac:dyDescent="0.25">
      <c r="A288" t="s">
        <v>890</v>
      </c>
      <c r="B288" s="4" t="s">
        <v>1796</v>
      </c>
      <c r="C288" t="s">
        <v>2992</v>
      </c>
    </row>
    <row r="289" spans="1:3" x14ac:dyDescent="0.25">
      <c r="A289" t="s">
        <v>890</v>
      </c>
      <c r="B289" s="4" t="s">
        <v>1618</v>
      </c>
      <c r="C289" t="s">
        <v>2992</v>
      </c>
    </row>
    <row r="290" spans="1:3" x14ac:dyDescent="0.25">
      <c r="A290" t="s">
        <v>890</v>
      </c>
      <c r="B290" t="s">
        <v>3128</v>
      </c>
      <c r="C290" t="s">
        <v>3288</v>
      </c>
    </row>
    <row r="291" spans="1:3" x14ac:dyDescent="0.25">
      <c r="A291" t="s">
        <v>890</v>
      </c>
      <c r="B291" s="4" t="s">
        <v>1752</v>
      </c>
      <c r="C291" t="s">
        <v>2992</v>
      </c>
    </row>
    <row r="292" spans="1:3" x14ac:dyDescent="0.25">
      <c r="A292" t="s">
        <v>890</v>
      </c>
      <c r="B292" t="s">
        <v>1219</v>
      </c>
      <c r="C292" t="s">
        <v>953</v>
      </c>
    </row>
    <row r="293" spans="1:3" x14ac:dyDescent="0.25">
      <c r="A293" t="s">
        <v>890</v>
      </c>
      <c r="B293" t="s">
        <v>1103</v>
      </c>
      <c r="C293" t="s">
        <v>953</v>
      </c>
    </row>
    <row r="294" spans="1:3" x14ac:dyDescent="0.25">
      <c r="A294" t="s">
        <v>890</v>
      </c>
      <c r="B294" t="s">
        <v>1913</v>
      </c>
      <c r="C294" t="s">
        <v>2991</v>
      </c>
    </row>
    <row r="295" spans="1:3" x14ac:dyDescent="0.25">
      <c r="A295" t="s">
        <v>890</v>
      </c>
      <c r="B295" t="s">
        <v>1506</v>
      </c>
      <c r="C295" t="s">
        <v>953</v>
      </c>
    </row>
    <row r="296" spans="1:3" x14ac:dyDescent="0.25">
      <c r="A296" t="s">
        <v>890</v>
      </c>
      <c r="B296" s="4" t="s">
        <v>1760</v>
      </c>
      <c r="C296" t="s">
        <v>2992</v>
      </c>
    </row>
    <row r="297" spans="1:3" x14ac:dyDescent="0.25">
      <c r="A297" t="s">
        <v>890</v>
      </c>
      <c r="B297" t="s">
        <v>1502</v>
      </c>
      <c r="C297" t="s">
        <v>953</v>
      </c>
    </row>
    <row r="298" spans="1:3" x14ac:dyDescent="0.25">
      <c r="A298" t="s">
        <v>890</v>
      </c>
      <c r="B298" s="4" t="s">
        <v>1744</v>
      </c>
      <c r="C298" t="s">
        <v>2992</v>
      </c>
    </row>
    <row r="299" spans="1:3" x14ac:dyDescent="0.25">
      <c r="A299" t="s">
        <v>890</v>
      </c>
      <c r="B299" t="s">
        <v>2279</v>
      </c>
      <c r="C299" t="s">
        <v>2991</v>
      </c>
    </row>
    <row r="300" spans="1:3" x14ac:dyDescent="0.25">
      <c r="A300" t="s">
        <v>890</v>
      </c>
      <c r="B300" s="4" t="s">
        <v>1607</v>
      </c>
      <c r="C300" t="s">
        <v>2992</v>
      </c>
    </row>
    <row r="301" spans="1:3" x14ac:dyDescent="0.25">
      <c r="A301" t="s">
        <v>890</v>
      </c>
      <c r="B301" t="s">
        <v>3171</v>
      </c>
      <c r="C301" t="s">
        <v>3288</v>
      </c>
    </row>
    <row r="302" spans="1:3" x14ac:dyDescent="0.25">
      <c r="A302" t="s">
        <v>890</v>
      </c>
      <c r="B302" s="4" t="s">
        <v>1715</v>
      </c>
      <c r="C302" t="s">
        <v>2992</v>
      </c>
    </row>
    <row r="303" spans="1:3" x14ac:dyDescent="0.25">
      <c r="A303" t="s">
        <v>890</v>
      </c>
      <c r="B303" t="s">
        <v>1311</v>
      </c>
      <c r="C303" t="s">
        <v>953</v>
      </c>
    </row>
    <row r="304" spans="1:3" x14ac:dyDescent="0.25">
      <c r="A304" t="s">
        <v>890</v>
      </c>
      <c r="B304" t="s">
        <v>1959</v>
      </c>
      <c r="C304" t="s">
        <v>2991</v>
      </c>
    </row>
    <row r="305" spans="1:3" x14ac:dyDescent="0.25">
      <c r="A305" t="s">
        <v>890</v>
      </c>
      <c r="B305" s="4" t="s">
        <v>1711</v>
      </c>
      <c r="C305" t="s">
        <v>2992</v>
      </c>
    </row>
    <row r="306" spans="1:3" x14ac:dyDescent="0.25">
      <c r="A306" t="s">
        <v>890</v>
      </c>
      <c r="B306" s="4" t="s">
        <v>1705</v>
      </c>
      <c r="C306" t="s">
        <v>2992</v>
      </c>
    </row>
    <row r="307" spans="1:3" x14ac:dyDescent="0.25">
      <c r="A307" t="s">
        <v>890</v>
      </c>
      <c r="B307" t="s">
        <v>1329</v>
      </c>
      <c r="C307" t="s">
        <v>953</v>
      </c>
    </row>
    <row r="308" spans="1:3" x14ac:dyDescent="0.25">
      <c r="A308" t="s">
        <v>890</v>
      </c>
      <c r="B308" t="s">
        <v>3076</v>
      </c>
      <c r="C308" t="s">
        <v>3288</v>
      </c>
    </row>
    <row r="309" spans="1:3" x14ac:dyDescent="0.25">
      <c r="A309" t="s">
        <v>890</v>
      </c>
      <c r="B309" t="s">
        <v>3244</v>
      </c>
      <c r="C309" t="s">
        <v>3288</v>
      </c>
    </row>
    <row r="310" spans="1:3" x14ac:dyDescent="0.25">
      <c r="A310" t="s">
        <v>890</v>
      </c>
      <c r="B310" t="s">
        <v>1296</v>
      </c>
      <c r="C310" t="s">
        <v>953</v>
      </c>
    </row>
    <row r="311" spans="1:3" x14ac:dyDescent="0.25">
      <c r="A311" t="s">
        <v>890</v>
      </c>
      <c r="B311" t="s">
        <v>1996</v>
      </c>
      <c r="C311" t="s">
        <v>2991</v>
      </c>
    </row>
    <row r="312" spans="1:3" x14ac:dyDescent="0.25">
      <c r="A312" t="s">
        <v>890</v>
      </c>
      <c r="B312" t="s">
        <v>1958</v>
      </c>
      <c r="C312" t="s">
        <v>2991</v>
      </c>
    </row>
    <row r="313" spans="1:3" x14ac:dyDescent="0.25">
      <c r="A313" t="s">
        <v>890</v>
      </c>
      <c r="B313" s="4" t="s">
        <v>1696</v>
      </c>
      <c r="C313" t="s">
        <v>2992</v>
      </c>
    </row>
    <row r="314" spans="1:3" x14ac:dyDescent="0.25">
      <c r="A314" t="s">
        <v>890</v>
      </c>
      <c r="B314" t="s">
        <v>1325</v>
      </c>
      <c r="C314" t="s">
        <v>953</v>
      </c>
    </row>
    <row r="315" spans="1:3" x14ac:dyDescent="0.25">
      <c r="A315" t="s">
        <v>890</v>
      </c>
      <c r="B315" t="s">
        <v>2407</v>
      </c>
      <c r="C315" t="s">
        <v>2991</v>
      </c>
    </row>
    <row r="316" spans="1:3" x14ac:dyDescent="0.25">
      <c r="A316" t="s">
        <v>890</v>
      </c>
      <c r="B316" s="4" t="s">
        <v>1552</v>
      </c>
      <c r="C316" t="s">
        <v>2992</v>
      </c>
    </row>
    <row r="317" spans="1:3" x14ac:dyDescent="0.25">
      <c r="A317" t="s">
        <v>890</v>
      </c>
      <c r="B317" t="s">
        <v>1225</v>
      </c>
      <c r="C317" t="s">
        <v>953</v>
      </c>
    </row>
    <row r="318" spans="1:3" x14ac:dyDescent="0.25">
      <c r="A318" t="s">
        <v>890</v>
      </c>
      <c r="B318" t="s">
        <v>3049</v>
      </c>
      <c r="C318" t="s">
        <v>3288</v>
      </c>
    </row>
    <row r="319" spans="1:3" x14ac:dyDescent="0.25">
      <c r="A319" t="s">
        <v>890</v>
      </c>
      <c r="B319" t="s">
        <v>1843</v>
      </c>
      <c r="C319" t="s">
        <v>2991</v>
      </c>
    </row>
    <row r="320" spans="1:3" x14ac:dyDescent="0.25">
      <c r="A320" t="s">
        <v>890</v>
      </c>
      <c r="B320" s="4" t="s">
        <v>1644</v>
      </c>
      <c r="C320" t="s">
        <v>2992</v>
      </c>
    </row>
    <row r="321" spans="1:3" x14ac:dyDescent="0.25">
      <c r="A321" t="s">
        <v>890</v>
      </c>
      <c r="B321" t="s">
        <v>2083</v>
      </c>
      <c r="C321" t="s">
        <v>2991</v>
      </c>
    </row>
    <row r="322" spans="1:3" x14ac:dyDescent="0.25">
      <c r="A322" t="s">
        <v>890</v>
      </c>
      <c r="B322" t="s">
        <v>3258</v>
      </c>
      <c r="C322" t="s">
        <v>3288</v>
      </c>
    </row>
    <row r="323" spans="1:3" x14ac:dyDescent="0.25">
      <c r="A323" t="s">
        <v>890</v>
      </c>
      <c r="B323" t="s">
        <v>2084</v>
      </c>
      <c r="C323" t="s">
        <v>2991</v>
      </c>
    </row>
    <row r="324" spans="1:3" x14ac:dyDescent="0.25">
      <c r="A324" t="s">
        <v>890</v>
      </c>
      <c r="B324" s="4" t="s">
        <v>1741</v>
      </c>
      <c r="C324" t="s">
        <v>2992</v>
      </c>
    </row>
    <row r="325" spans="1:3" x14ac:dyDescent="0.25">
      <c r="A325" t="s">
        <v>890</v>
      </c>
      <c r="B325" t="s">
        <v>1423</v>
      </c>
      <c r="C325" t="s">
        <v>953</v>
      </c>
    </row>
    <row r="326" spans="1:3" x14ac:dyDescent="0.25">
      <c r="A326" t="s">
        <v>890</v>
      </c>
      <c r="B326" s="4" t="s">
        <v>1745</v>
      </c>
      <c r="C326" t="s">
        <v>2992</v>
      </c>
    </row>
    <row r="327" spans="1:3" x14ac:dyDescent="0.25">
      <c r="A327" t="s">
        <v>890</v>
      </c>
      <c r="B327" s="4" t="s">
        <v>1795</v>
      </c>
      <c r="C327" t="s">
        <v>2992</v>
      </c>
    </row>
    <row r="328" spans="1:3" x14ac:dyDescent="0.25">
      <c r="A328" t="s">
        <v>890</v>
      </c>
      <c r="B328" s="4" t="s">
        <v>1724</v>
      </c>
      <c r="C328" t="s">
        <v>2992</v>
      </c>
    </row>
    <row r="329" spans="1:3" x14ac:dyDescent="0.25">
      <c r="A329" t="s">
        <v>890</v>
      </c>
      <c r="B329" s="4" t="s">
        <v>1580</v>
      </c>
      <c r="C329" t="s">
        <v>2992</v>
      </c>
    </row>
    <row r="330" spans="1:3" x14ac:dyDescent="0.25">
      <c r="A330" t="s">
        <v>890</v>
      </c>
      <c r="B330" t="s">
        <v>3226</v>
      </c>
      <c r="C330" t="s">
        <v>3288</v>
      </c>
    </row>
    <row r="331" spans="1:3" x14ac:dyDescent="0.25">
      <c r="A331" t="s">
        <v>890</v>
      </c>
      <c r="B331" t="s">
        <v>1263</v>
      </c>
      <c r="C331" t="s">
        <v>953</v>
      </c>
    </row>
    <row r="332" spans="1:3" x14ac:dyDescent="0.25">
      <c r="A332" t="s">
        <v>890</v>
      </c>
      <c r="B332" t="s">
        <v>2140</v>
      </c>
      <c r="C332" t="s">
        <v>2991</v>
      </c>
    </row>
    <row r="333" spans="1:3" x14ac:dyDescent="0.25">
      <c r="A333" t="s">
        <v>890</v>
      </c>
      <c r="B333" t="s">
        <v>2999</v>
      </c>
      <c r="C333" t="s">
        <v>3288</v>
      </c>
    </row>
    <row r="334" spans="1:3" x14ac:dyDescent="0.25">
      <c r="A334" t="s">
        <v>890</v>
      </c>
      <c r="B334" t="s">
        <v>3150</v>
      </c>
      <c r="C334" t="s">
        <v>3288</v>
      </c>
    </row>
    <row r="335" spans="1:3" x14ac:dyDescent="0.25">
      <c r="A335" t="s">
        <v>890</v>
      </c>
      <c r="B335" s="4" t="s">
        <v>1559</v>
      </c>
      <c r="C335" t="s">
        <v>2992</v>
      </c>
    </row>
    <row r="336" spans="1:3" x14ac:dyDescent="0.25">
      <c r="A336" t="s">
        <v>890</v>
      </c>
      <c r="B336" t="s">
        <v>1195</v>
      </c>
      <c r="C336" t="s">
        <v>953</v>
      </c>
    </row>
    <row r="337" spans="1:3" x14ac:dyDescent="0.25">
      <c r="A337" t="s">
        <v>890</v>
      </c>
      <c r="B337" s="4" t="s">
        <v>1769</v>
      </c>
      <c r="C337" t="s">
        <v>2992</v>
      </c>
    </row>
    <row r="338" spans="1:3" x14ac:dyDescent="0.25">
      <c r="A338" t="s">
        <v>890</v>
      </c>
      <c r="B338" t="s">
        <v>3248</v>
      </c>
      <c r="C338" t="s">
        <v>3288</v>
      </c>
    </row>
    <row r="339" spans="1:3" x14ac:dyDescent="0.25">
      <c r="A339" t="s">
        <v>890</v>
      </c>
      <c r="B339" s="4" t="s">
        <v>1654</v>
      </c>
      <c r="C339" t="s">
        <v>2992</v>
      </c>
    </row>
    <row r="340" spans="1:3" x14ac:dyDescent="0.25">
      <c r="A340" t="s">
        <v>890</v>
      </c>
      <c r="B340" t="s">
        <v>3085</v>
      </c>
      <c r="C340" t="s">
        <v>3288</v>
      </c>
    </row>
    <row r="341" spans="1:3" x14ac:dyDescent="0.25">
      <c r="A341" t="s">
        <v>890</v>
      </c>
      <c r="B341" t="s">
        <v>1459</v>
      </c>
      <c r="C341" t="s">
        <v>953</v>
      </c>
    </row>
    <row r="342" spans="1:3" x14ac:dyDescent="0.25">
      <c r="A342" t="s">
        <v>890</v>
      </c>
      <c r="B342" t="s">
        <v>1477</v>
      </c>
      <c r="C342" t="s">
        <v>953</v>
      </c>
    </row>
    <row r="343" spans="1:3" x14ac:dyDescent="0.25">
      <c r="A343" t="s">
        <v>890</v>
      </c>
      <c r="B343" s="4" t="s">
        <v>1736</v>
      </c>
      <c r="C343" t="s">
        <v>2992</v>
      </c>
    </row>
    <row r="344" spans="1:3" x14ac:dyDescent="0.25">
      <c r="A344" t="s">
        <v>890</v>
      </c>
      <c r="B344" t="s">
        <v>1132</v>
      </c>
      <c r="C344" t="s">
        <v>953</v>
      </c>
    </row>
    <row r="345" spans="1:3" x14ac:dyDescent="0.25">
      <c r="A345" t="s">
        <v>890</v>
      </c>
      <c r="B345" t="s">
        <v>3031</v>
      </c>
      <c r="C345" t="s">
        <v>3288</v>
      </c>
    </row>
    <row r="346" spans="1:3" x14ac:dyDescent="0.25">
      <c r="A346" t="s">
        <v>890</v>
      </c>
      <c r="B346" t="s">
        <v>3194</v>
      </c>
      <c r="C346" t="s">
        <v>3288</v>
      </c>
    </row>
    <row r="347" spans="1:3" x14ac:dyDescent="0.25">
      <c r="A347" t="s">
        <v>890</v>
      </c>
      <c r="B347" t="s">
        <v>3077</v>
      </c>
      <c r="C347" t="s">
        <v>3288</v>
      </c>
    </row>
    <row r="348" spans="1:3" x14ac:dyDescent="0.25">
      <c r="A348" t="s">
        <v>890</v>
      </c>
      <c r="B348" s="4" t="s">
        <v>1685</v>
      </c>
      <c r="C348" t="s">
        <v>2992</v>
      </c>
    </row>
    <row r="349" spans="1:3" x14ac:dyDescent="0.25">
      <c r="A349" t="s">
        <v>890</v>
      </c>
      <c r="B349" t="s">
        <v>1412</v>
      </c>
      <c r="C349" t="s">
        <v>953</v>
      </c>
    </row>
    <row r="350" spans="1:3" x14ac:dyDescent="0.25">
      <c r="A350" t="s">
        <v>890</v>
      </c>
      <c r="B350" s="4" t="s">
        <v>1753</v>
      </c>
      <c r="C350" t="s">
        <v>2992</v>
      </c>
    </row>
    <row r="351" spans="1:3" x14ac:dyDescent="0.25">
      <c r="A351" t="s">
        <v>890</v>
      </c>
      <c r="B351" s="4" t="s">
        <v>1743</v>
      </c>
      <c r="C351" t="s">
        <v>2992</v>
      </c>
    </row>
    <row r="352" spans="1:3" x14ac:dyDescent="0.25">
      <c r="A352" t="s">
        <v>890</v>
      </c>
      <c r="B352" s="4" t="s">
        <v>1567</v>
      </c>
      <c r="C352" t="s">
        <v>2992</v>
      </c>
    </row>
    <row r="353" spans="1:3" x14ac:dyDescent="0.25">
      <c r="A353" t="s">
        <v>890</v>
      </c>
      <c r="B353" t="s">
        <v>2242</v>
      </c>
      <c r="C353" t="s">
        <v>2991</v>
      </c>
    </row>
    <row r="354" spans="1:3" x14ac:dyDescent="0.25">
      <c r="A354" t="s">
        <v>890</v>
      </c>
      <c r="B354" t="s">
        <v>1519</v>
      </c>
      <c r="C354" t="s">
        <v>953</v>
      </c>
    </row>
    <row r="355" spans="1:3" x14ac:dyDescent="0.25">
      <c r="A355" t="s">
        <v>890</v>
      </c>
      <c r="B355" s="4" t="s">
        <v>1671</v>
      </c>
      <c r="C355" t="s">
        <v>2992</v>
      </c>
    </row>
    <row r="356" spans="1:3" x14ac:dyDescent="0.25">
      <c r="A356" t="s">
        <v>890</v>
      </c>
      <c r="B356" s="4" t="s">
        <v>1601</v>
      </c>
      <c r="C356" t="s">
        <v>2992</v>
      </c>
    </row>
    <row r="357" spans="1:3" x14ac:dyDescent="0.25">
      <c r="A357" t="s">
        <v>890</v>
      </c>
      <c r="B357" t="s">
        <v>3276</v>
      </c>
      <c r="C357" t="s">
        <v>3288</v>
      </c>
    </row>
    <row r="358" spans="1:3" x14ac:dyDescent="0.25">
      <c r="A358" t="s">
        <v>890</v>
      </c>
      <c r="B358" t="s">
        <v>3020</v>
      </c>
      <c r="C358" t="s">
        <v>3288</v>
      </c>
    </row>
    <row r="359" spans="1:3" x14ac:dyDescent="0.25">
      <c r="A359" t="s">
        <v>890</v>
      </c>
      <c r="B359" t="s">
        <v>991</v>
      </c>
      <c r="C359" t="s">
        <v>953</v>
      </c>
    </row>
    <row r="360" spans="1:3" x14ac:dyDescent="0.25">
      <c r="A360" t="s">
        <v>890</v>
      </c>
      <c r="B360" t="s">
        <v>2387</v>
      </c>
      <c r="C360" t="s">
        <v>2991</v>
      </c>
    </row>
    <row r="361" spans="1:3" x14ac:dyDescent="0.25">
      <c r="A361" t="s">
        <v>890</v>
      </c>
      <c r="B361" t="s">
        <v>2225</v>
      </c>
      <c r="C361" t="s">
        <v>2991</v>
      </c>
    </row>
    <row r="362" spans="1:3" x14ac:dyDescent="0.25">
      <c r="A362" t="s">
        <v>890</v>
      </c>
      <c r="B362" t="s">
        <v>1078</v>
      </c>
      <c r="C362" t="s">
        <v>953</v>
      </c>
    </row>
    <row r="363" spans="1:3" x14ac:dyDescent="0.25">
      <c r="A363" t="s">
        <v>890</v>
      </c>
      <c r="B363" s="4" t="s">
        <v>1664</v>
      </c>
      <c r="C363" t="s">
        <v>2992</v>
      </c>
    </row>
    <row r="364" spans="1:3" x14ac:dyDescent="0.25">
      <c r="A364" t="s">
        <v>890</v>
      </c>
      <c r="B364" t="s">
        <v>1315</v>
      </c>
      <c r="C364" t="s">
        <v>953</v>
      </c>
    </row>
    <row r="365" spans="1:3" x14ac:dyDescent="0.25">
      <c r="A365" t="s">
        <v>890</v>
      </c>
      <c r="B365" t="s">
        <v>2318</v>
      </c>
      <c r="C365" t="s">
        <v>2991</v>
      </c>
    </row>
    <row r="366" spans="1:3" x14ac:dyDescent="0.25">
      <c r="A366" t="s">
        <v>890</v>
      </c>
      <c r="B366" t="s">
        <v>1375</v>
      </c>
      <c r="C366" t="s">
        <v>953</v>
      </c>
    </row>
    <row r="367" spans="1:3" x14ac:dyDescent="0.25">
      <c r="A367" t="s">
        <v>890</v>
      </c>
      <c r="B367" t="s">
        <v>1288</v>
      </c>
      <c r="C367" t="s">
        <v>953</v>
      </c>
    </row>
    <row r="368" spans="1:3" x14ac:dyDescent="0.25">
      <c r="A368" t="s">
        <v>890</v>
      </c>
      <c r="B368" t="s">
        <v>1868</v>
      </c>
      <c r="C368" t="s">
        <v>2991</v>
      </c>
    </row>
    <row r="369" spans="1:3" x14ac:dyDescent="0.25">
      <c r="A369" t="s">
        <v>890</v>
      </c>
      <c r="B369" t="s">
        <v>3066</v>
      </c>
      <c r="C369" t="s">
        <v>3288</v>
      </c>
    </row>
    <row r="370" spans="1:3" x14ac:dyDescent="0.25">
      <c r="A370" t="s">
        <v>890</v>
      </c>
      <c r="B370" t="s">
        <v>1158</v>
      </c>
      <c r="C370" t="s">
        <v>953</v>
      </c>
    </row>
    <row r="371" spans="1:3" x14ac:dyDescent="0.25">
      <c r="A371" t="s">
        <v>890</v>
      </c>
      <c r="B371" t="s">
        <v>1041</v>
      </c>
      <c r="C371" t="s">
        <v>953</v>
      </c>
    </row>
    <row r="372" spans="1:3" x14ac:dyDescent="0.25">
      <c r="A372" t="s">
        <v>890</v>
      </c>
      <c r="B372" t="s">
        <v>1363</v>
      </c>
      <c r="C372" t="s">
        <v>953</v>
      </c>
    </row>
    <row r="373" spans="1:3" x14ac:dyDescent="0.25">
      <c r="A373" t="s">
        <v>890</v>
      </c>
      <c r="B373" t="s">
        <v>1120</v>
      </c>
      <c r="C373" t="s">
        <v>953</v>
      </c>
    </row>
    <row r="374" spans="1:3" x14ac:dyDescent="0.25">
      <c r="A374" t="s">
        <v>890</v>
      </c>
      <c r="B374" t="s">
        <v>1525</v>
      </c>
      <c r="C374" t="s">
        <v>953</v>
      </c>
    </row>
    <row r="375" spans="1:3" x14ac:dyDescent="0.25">
      <c r="A375" t="s">
        <v>890</v>
      </c>
      <c r="B375" t="s">
        <v>1943</v>
      </c>
      <c r="C375" t="s">
        <v>2991</v>
      </c>
    </row>
    <row r="376" spans="1:3" x14ac:dyDescent="0.25">
      <c r="A376" t="s">
        <v>890</v>
      </c>
      <c r="B376" s="4" t="s">
        <v>1702</v>
      </c>
      <c r="C376" t="s">
        <v>2992</v>
      </c>
    </row>
    <row r="377" spans="1:3" x14ac:dyDescent="0.25">
      <c r="A377" t="s">
        <v>890</v>
      </c>
      <c r="B377" t="s">
        <v>3232</v>
      </c>
      <c r="C377" t="s">
        <v>3288</v>
      </c>
    </row>
    <row r="378" spans="1:3" x14ac:dyDescent="0.25">
      <c r="A378" t="s">
        <v>890</v>
      </c>
      <c r="B378" t="s">
        <v>1314</v>
      </c>
      <c r="C378" t="s">
        <v>953</v>
      </c>
    </row>
    <row r="379" spans="1:3" x14ac:dyDescent="0.25">
      <c r="A379" t="s">
        <v>890</v>
      </c>
      <c r="B379" t="s">
        <v>2000</v>
      </c>
      <c r="C379" t="s">
        <v>2991</v>
      </c>
    </row>
    <row r="380" spans="1:3" x14ac:dyDescent="0.25">
      <c r="A380" t="s">
        <v>890</v>
      </c>
      <c r="B380" t="s">
        <v>3242</v>
      </c>
      <c r="C380" t="s">
        <v>3288</v>
      </c>
    </row>
    <row r="381" spans="1:3" x14ac:dyDescent="0.25">
      <c r="A381" t="s">
        <v>890</v>
      </c>
      <c r="B381" t="s">
        <v>3064</v>
      </c>
      <c r="C381" t="s">
        <v>3288</v>
      </c>
    </row>
    <row r="382" spans="1:3" x14ac:dyDescent="0.25">
      <c r="A382" t="s">
        <v>890</v>
      </c>
      <c r="B382" t="s">
        <v>3260</v>
      </c>
      <c r="C382" t="s">
        <v>3288</v>
      </c>
    </row>
    <row r="383" spans="1:3" x14ac:dyDescent="0.25">
      <c r="A383" t="s">
        <v>890</v>
      </c>
      <c r="B383" t="s">
        <v>1479</v>
      </c>
      <c r="C383" t="s">
        <v>953</v>
      </c>
    </row>
    <row r="384" spans="1:3" x14ac:dyDescent="0.25">
      <c r="A384" t="s">
        <v>890</v>
      </c>
      <c r="B384" s="4" t="s">
        <v>1816</v>
      </c>
      <c r="C384" t="s">
        <v>2992</v>
      </c>
    </row>
    <row r="385" spans="1:3" x14ac:dyDescent="0.25">
      <c r="A385" t="s">
        <v>890</v>
      </c>
      <c r="B385" t="s">
        <v>1243</v>
      </c>
      <c r="C385" t="s">
        <v>953</v>
      </c>
    </row>
    <row r="386" spans="1:3" x14ac:dyDescent="0.25">
      <c r="A386" t="s">
        <v>890</v>
      </c>
      <c r="B386" t="s">
        <v>3063</v>
      </c>
      <c r="C386" t="s">
        <v>3288</v>
      </c>
    </row>
    <row r="387" spans="1:3" x14ac:dyDescent="0.25">
      <c r="A387" t="s">
        <v>890</v>
      </c>
      <c r="B387" t="s">
        <v>1907</v>
      </c>
      <c r="C387" t="s">
        <v>2991</v>
      </c>
    </row>
    <row r="388" spans="1:3" x14ac:dyDescent="0.25">
      <c r="A388" t="s">
        <v>890</v>
      </c>
      <c r="B388" t="s">
        <v>1133</v>
      </c>
      <c r="C388" t="s">
        <v>953</v>
      </c>
    </row>
    <row r="389" spans="1:3" x14ac:dyDescent="0.25">
      <c r="A389" t="s">
        <v>890</v>
      </c>
      <c r="B389" t="s">
        <v>3183</v>
      </c>
      <c r="C389" t="s">
        <v>3288</v>
      </c>
    </row>
    <row r="390" spans="1:3" x14ac:dyDescent="0.25">
      <c r="A390" t="s">
        <v>890</v>
      </c>
      <c r="B390" t="s">
        <v>2993</v>
      </c>
      <c r="C390" t="s">
        <v>3288</v>
      </c>
    </row>
    <row r="391" spans="1:3" x14ac:dyDescent="0.25">
      <c r="A391" t="s">
        <v>890</v>
      </c>
      <c r="B391" t="s">
        <v>1081</v>
      </c>
      <c r="C391" t="s">
        <v>953</v>
      </c>
    </row>
    <row r="392" spans="1:3" x14ac:dyDescent="0.25">
      <c r="A392" t="s">
        <v>890</v>
      </c>
      <c r="B392" t="s">
        <v>1984</v>
      </c>
      <c r="C392" t="s">
        <v>2991</v>
      </c>
    </row>
    <row r="393" spans="1:3" x14ac:dyDescent="0.25">
      <c r="A393" t="s">
        <v>890</v>
      </c>
      <c r="B393" s="4" t="s">
        <v>1706</v>
      </c>
      <c r="C393" t="s">
        <v>2992</v>
      </c>
    </row>
    <row r="394" spans="1:3" x14ac:dyDescent="0.25">
      <c r="A394" t="s">
        <v>890</v>
      </c>
      <c r="B394" t="s">
        <v>3270</v>
      </c>
      <c r="C394" t="s">
        <v>3288</v>
      </c>
    </row>
    <row r="395" spans="1:3" x14ac:dyDescent="0.25">
      <c r="A395" t="s">
        <v>890</v>
      </c>
      <c r="B395" t="s">
        <v>3008</v>
      </c>
      <c r="C395" t="s">
        <v>3288</v>
      </c>
    </row>
    <row r="396" spans="1:3" x14ac:dyDescent="0.25">
      <c r="A396" t="s">
        <v>890</v>
      </c>
      <c r="B396" t="s">
        <v>2109</v>
      </c>
      <c r="C396" t="s">
        <v>2991</v>
      </c>
    </row>
    <row r="397" spans="1:3" x14ac:dyDescent="0.25">
      <c r="A397" t="s">
        <v>890</v>
      </c>
      <c r="B397" t="s">
        <v>3223</v>
      </c>
      <c r="C397" t="s">
        <v>3288</v>
      </c>
    </row>
    <row r="398" spans="1:3" x14ac:dyDescent="0.25">
      <c r="A398" t="s">
        <v>890</v>
      </c>
      <c r="B398" s="4" t="s">
        <v>1543</v>
      </c>
      <c r="C398" t="s">
        <v>2992</v>
      </c>
    </row>
    <row r="399" spans="1:3" x14ac:dyDescent="0.25">
      <c r="A399" t="s">
        <v>890</v>
      </c>
      <c r="B399" t="s">
        <v>1489</v>
      </c>
      <c r="C399" t="s">
        <v>953</v>
      </c>
    </row>
    <row r="400" spans="1:3" x14ac:dyDescent="0.25">
      <c r="A400" t="s">
        <v>890</v>
      </c>
      <c r="B400" s="4" t="s">
        <v>1575</v>
      </c>
      <c r="C400" t="s">
        <v>2992</v>
      </c>
    </row>
    <row r="401" spans="1:3" x14ac:dyDescent="0.25">
      <c r="A401" t="s">
        <v>890</v>
      </c>
      <c r="B401" t="s">
        <v>2172</v>
      </c>
      <c r="C401" t="s">
        <v>2991</v>
      </c>
    </row>
    <row r="402" spans="1:3" x14ac:dyDescent="0.25">
      <c r="A402" t="s">
        <v>890</v>
      </c>
      <c r="B402" t="s">
        <v>3175</v>
      </c>
      <c r="C402" t="s">
        <v>3288</v>
      </c>
    </row>
    <row r="403" spans="1:3" x14ac:dyDescent="0.25">
      <c r="A403" t="s">
        <v>890</v>
      </c>
      <c r="B403" t="s">
        <v>2133</v>
      </c>
      <c r="C403" t="s">
        <v>2991</v>
      </c>
    </row>
    <row r="404" spans="1:3" x14ac:dyDescent="0.25">
      <c r="A404" t="s">
        <v>890</v>
      </c>
      <c r="B404" s="4" t="s">
        <v>1814</v>
      </c>
      <c r="C404" t="s">
        <v>2992</v>
      </c>
    </row>
    <row r="405" spans="1:3" x14ac:dyDescent="0.25">
      <c r="A405" t="s">
        <v>890</v>
      </c>
      <c r="B405" t="s">
        <v>3083</v>
      </c>
      <c r="C405" t="s">
        <v>3288</v>
      </c>
    </row>
    <row r="406" spans="1:3" x14ac:dyDescent="0.25">
      <c r="A406" t="s">
        <v>890</v>
      </c>
      <c r="B406" t="s">
        <v>3003</v>
      </c>
      <c r="C406" t="s">
        <v>3288</v>
      </c>
    </row>
    <row r="407" spans="1:3" x14ac:dyDescent="0.25">
      <c r="A407" t="s">
        <v>890</v>
      </c>
      <c r="B407" s="4" t="s">
        <v>1750</v>
      </c>
      <c r="C407" t="s">
        <v>2992</v>
      </c>
    </row>
    <row r="408" spans="1:3" x14ac:dyDescent="0.25">
      <c r="A408" t="s">
        <v>890</v>
      </c>
      <c r="B408" t="s">
        <v>3170</v>
      </c>
      <c r="C408" t="s">
        <v>3288</v>
      </c>
    </row>
    <row r="409" spans="1:3" x14ac:dyDescent="0.25">
      <c r="A409" t="s">
        <v>890</v>
      </c>
      <c r="B409" t="s">
        <v>2010</v>
      </c>
      <c r="C409" t="s">
        <v>2991</v>
      </c>
    </row>
    <row r="410" spans="1:3" x14ac:dyDescent="0.25">
      <c r="A410" t="s">
        <v>890</v>
      </c>
      <c r="B410" t="s">
        <v>2088</v>
      </c>
      <c r="C410" t="s">
        <v>2991</v>
      </c>
    </row>
    <row r="411" spans="1:3" x14ac:dyDescent="0.25">
      <c r="A411" t="s">
        <v>890</v>
      </c>
      <c r="B411" t="s">
        <v>2430</v>
      </c>
      <c r="C411" t="s">
        <v>2991</v>
      </c>
    </row>
    <row r="412" spans="1:3" x14ac:dyDescent="0.25">
      <c r="A412" t="s">
        <v>890</v>
      </c>
      <c r="B412" t="s">
        <v>3200</v>
      </c>
      <c r="C412" t="s">
        <v>3288</v>
      </c>
    </row>
    <row r="413" spans="1:3" x14ac:dyDescent="0.25">
      <c r="A413" t="s">
        <v>890</v>
      </c>
      <c r="B413" t="s">
        <v>3169</v>
      </c>
      <c r="C413" t="s">
        <v>3288</v>
      </c>
    </row>
    <row r="414" spans="1:3" x14ac:dyDescent="0.25">
      <c r="A414" t="s">
        <v>890</v>
      </c>
      <c r="B414" t="s">
        <v>2259</v>
      </c>
      <c r="C414" t="s">
        <v>2991</v>
      </c>
    </row>
    <row r="415" spans="1:3" x14ac:dyDescent="0.25">
      <c r="A415" t="s">
        <v>890</v>
      </c>
      <c r="B415" t="s">
        <v>2234</v>
      </c>
      <c r="C415" t="s">
        <v>2991</v>
      </c>
    </row>
    <row r="416" spans="1:3" x14ac:dyDescent="0.25">
      <c r="A416" t="s">
        <v>890</v>
      </c>
      <c r="B416" t="s">
        <v>3133</v>
      </c>
      <c r="C416" t="s">
        <v>3288</v>
      </c>
    </row>
    <row r="417" spans="1:3" x14ac:dyDescent="0.25">
      <c r="A417" t="s">
        <v>890</v>
      </c>
      <c r="B417" t="s">
        <v>1450</v>
      </c>
      <c r="C417" t="s">
        <v>953</v>
      </c>
    </row>
    <row r="418" spans="1:3" x14ac:dyDescent="0.25">
      <c r="A418" t="s">
        <v>890</v>
      </c>
      <c r="B418" t="s">
        <v>2413</v>
      </c>
      <c r="C418" t="s">
        <v>2991</v>
      </c>
    </row>
    <row r="419" spans="1:3" x14ac:dyDescent="0.25">
      <c r="A419" t="s">
        <v>890</v>
      </c>
      <c r="B419" t="s">
        <v>1338</v>
      </c>
      <c r="C419" t="s">
        <v>953</v>
      </c>
    </row>
    <row r="420" spans="1:3" x14ac:dyDescent="0.25">
      <c r="A420" t="s">
        <v>890</v>
      </c>
      <c r="B420" t="s">
        <v>3187</v>
      </c>
      <c r="C420" t="s">
        <v>3288</v>
      </c>
    </row>
    <row r="421" spans="1:3" x14ac:dyDescent="0.25">
      <c r="A421" t="s">
        <v>890</v>
      </c>
      <c r="B421" t="s">
        <v>3091</v>
      </c>
      <c r="C421" t="s">
        <v>3288</v>
      </c>
    </row>
    <row r="422" spans="1:3" x14ac:dyDescent="0.25">
      <c r="A422" t="s">
        <v>890</v>
      </c>
      <c r="B422" t="s">
        <v>1458</v>
      </c>
      <c r="C422" t="s">
        <v>953</v>
      </c>
    </row>
    <row r="423" spans="1:3" x14ac:dyDescent="0.25">
      <c r="A423" t="s">
        <v>890</v>
      </c>
      <c r="B423" s="4" t="s">
        <v>1609</v>
      </c>
      <c r="C423" t="s">
        <v>2992</v>
      </c>
    </row>
    <row r="424" spans="1:3" x14ac:dyDescent="0.25">
      <c r="A424" t="s">
        <v>890</v>
      </c>
      <c r="B424" s="4" t="s">
        <v>1538</v>
      </c>
      <c r="C424" t="s">
        <v>2992</v>
      </c>
    </row>
    <row r="425" spans="1:3" x14ac:dyDescent="0.25">
      <c r="A425" t="s">
        <v>890</v>
      </c>
      <c r="B425" t="s">
        <v>3088</v>
      </c>
      <c r="C425" t="s">
        <v>3288</v>
      </c>
    </row>
    <row r="426" spans="1:3" x14ac:dyDescent="0.25">
      <c r="A426" t="s">
        <v>890</v>
      </c>
      <c r="B426" t="s">
        <v>2020</v>
      </c>
      <c r="C426" t="s">
        <v>2991</v>
      </c>
    </row>
    <row r="427" spans="1:3" x14ac:dyDescent="0.25">
      <c r="A427" t="s">
        <v>890</v>
      </c>
      <c r="B427" t="s">
        <v>3065</v>
      </c>
      <c r="C427" t="s">
        <v>3288</v>
      </c>
    </row>
    <row r="428" spans="1:3" x14ac:dyDescent="0.25">
      <c r="A428" t="s">
        <v>890</v>
      </c>
      <c r="B428" t="s">
        <v>1027</v>
      </c>
      <c r="C428" t="s">
        <v>953</v>
      </c>
    </row>
    <row r="429" spans="1:3" x14ac:dyDescent="0.25">
      <c r="A429" t="s">
        <v>890</v>
      </c>
      <c r="B429" t="s">
        <v>2026</v>
      </c>
      <c r="C429" t="s">
        <v>2991</v>
      </c>
    </row>
    <row r="430" spans="1:3" x14ac:dyDescent="0.25">
      <c r="A430" t="s">
        <v>890</v>
      </c>
      <c r="B430" t="s">
        <v>1449</v>
      </c>
      <c r="C430" t="s">
        <v>953</v>
      </c>
    </row>
    <row r="431" spans="1:3" x14ac:dyDescent="0.25">
      <c r="A431" t="s">
        <v>890</v>
      </c>
      <c r="B431" s="4" t="s">
        <v>1778</v>
      </c>
      <c r="C431" t="s">
        <v>2992</v>
      </c>
    </row>
    <row r="432" spans="1:3" x14ac:dyDescent="0.25">
      <c r="A432" t="s">
        <v>890</v>
      </c>
      <c r="B432" t="s">
        <v>1856</v>
      </c>
      <c r="C432" t="s">
        <v>2991</v>
      </c>
    </row>
    <row r="433" spans="1:3" x14ac:dyDescent="0.25">
      <c r="A433" t="s">
        <v>890</v>
      </c>
      <c r="B433" t="s">
        <v>2016</v>
      </c>
      <c r="C433" t="s">
        <v>2991</v>
      </c>
    </row>
    <row r="434" spans="1:3" x14ac:dyDescent="0.25">
      <c r="A434" t="s">
        <v>890</v>
      </c>
      <c r="B434" t="s">
        <v>1379</v>
      </c>
      <c r="C434" t="s">
        <v>953</v>
      </c>
    </row>
    <row r="435" spans="1:3" x14ac:dyDescent="0.25">
      <c r="A435" t="s">
        <v>890</v>
      </c>
      <c r="B435" t="s">
        <v>1205</v>
      </c>
      <c r="C435" t="s">
        <v>953</v>
      </c>
    </row>
    <row r="436" spans="1:3" x14ac:dyDescent="0.25">
      <c r="A436" t="s">
        <v>890</v>
      </c>
      <c r="B436" t="s">
        <v>1382</v>
      </c>
      <c r="C436" t="s">
        <v>953</v>
      </c>
    </row>
    <row r="437" spans="1:3" x14ac:dyDescent="0.25">
      <c r="A437" t="s">
        <v>890</v>
      </c>
      <c r="B437" s="4" t="s">
        <v>1603</v>
      </c>
      <c r="C437" t="s">
        <v>2992</v>
      </c>
    </row>
    <row r="438" spans="1:3" x14ac:dyDescent="0.25">
      <c r="A438" t="s">
        <v>890</v>
      </c>
      <c r="B438" s="4" t="s">
        <v>1800</v>
      </c>
      <c r="C438" t="s">
        <v>2992</v>
      </c>
    </row>
    <row r="439" spans="1:3" x14ac:dyDescent="0.25">
      <c r="A439" t="s">
        <v>890</v>
      </c>
      <c r="B439" t="s">
        <v>1257</v>
      </c>
      <c r="C439" t="s">
        <v>953</v>
      </c>
    </row>
    <row r="440" spans="1:3" x14ac:dyDescent="0.25">
      <c r="A440" t="s">
        <v>890</v>
      </c>
      <c r="B440" s="4" t="s">
        <v>1606</v>
      </c>
      <c r="C440" t="s">
        <v>2992</v>
      </c>
    </row>
    <row r="441" spans="1:3" x14ac:dyDescent="0.25">
      <c r="A441" t="s">
        <v>890</v>
      </c>
      <c r="B441" t="s">
        <v>2076</v>
      </c>
      <c r="C441" t="s">
        <v>2991</v>
      </c>
    </row>
    <row r="442" spans="1:3" x14ac:dyDescent="0.25">
      <c r="A442" t="s">
        <v>890</v>
      </c>
      <c r="B442" t="s">
        <v>3015</v>
      </c>
      <c r="C442" t="s">
        <v>3288</v>
      </c>
    </row>
    <row r="443" spans="1:3" x14ac:dyDescent="0.25">
      <c r="A443" t="s">
        <v>890</v>
      </c>
      <c r="B443" t="s">
        <v>3045</v>
      </c>
      <c r="C443" t="s">
        <v>3288</v>
      </c>
    </row>
    <row r="444" spans="1:3" x14ac:dyDescent="0.25">
      <c r="A444" t="s">
        <v>890</v>
      </c>
      <c r="B444" s="4" t="s">
        <v>1712</v>
      </c>
      <c r="C444" t="s">
        <v>2992</v>
      </c>
    </row>
    <row r="445" spans="1:3" x14ac:dyDescent="0.25">
      <c r="A445" t="s">
        <v>890</v>
      </c>
      <c r="B445" s="4" t="s">
        <v>1742</v>
      </c>
      <c r="C445" t="s">
        <v>2992</v>
      </c>
    </row>
    <row r="446" spans="1:3" x14ac:dyDescent="0.25">
      <c r="A446" t="s">
        <v>890</v>
      </c>
      <c r="B446" s="4" t="s">
        <v>1565</v>
      </c>
      <c r="C446" t="s">
        <v>2992</v>
      </c>
    </row>
    <row r="447" spans="1:3" x14ac:dyDescent="0.25">
      <c r="A447" t="s">
        <v>890</v>
      </c>
      <c r="B447" s="4" t="s">
        <v>1574</v>
      </c>
      <c r="C447" t="s">
        <v>2992</v>
      </c>
    </row>
    <row r="448" spans="1:3" x14ac:dyDescent="0.25">
      <c r="A448" t="s">
        <v>890</v>
      </c>
      <c r="B448" t="s">
        <v>3107</v>
      </c>
      <c r="C448" t="s">
        <v>3288</v>
      </c>
    </row>
    <row r="449" spans="1:3" x14ac:dyDescent="0.25">
      <c r="A449" t="s">
        <v>890</v>
      </c>
      <c r="B449" t="s">
        <v>3051</v>
      </c>
      <c r="C449" t="s">
        <v>3288</v>
      </c>
    </row>
    <row r="450" spans="1:3" x14ac:dyDescent="0.25">
      <c r="A450" t="s">
        <v>890</v>
      </c>
      <c r="B450" s="4" t="s">
        <v>1553</v>
      </c>
      <c r="C450" t="s">
        <v>2992</v>
      </c>
    </row>
    <row r="451" spans="1:3" x14ac:dyDescent="0.25">
      <c r="A451" t="s">
        <v>890</v>
      </c>
      <c r="B451" t="s">
        <v>1038</v>
      </c>
      <c r="C451" t="s">
        <v>953</v>
      </c>
    </row>
    <row r="452" spans="1:3" x14ac:dyDescent="0.25">
      <c r="A452" t="s">
        <v>890</v>
      </c>
      <c r="B452" t="s">
        <v>1455</v>
      </c>
      <c r="C452" t="s">
        <v>953</v>
      </c>
    </row>
    <row r="453" spans="1:3" x14ac:dyDescent="0.25">
      <c r="A453" t="s">
        <v>890</v>
      </c>
      <c r="B453" t="s">
        <v>1924</v>
      </c>
      <c r="C453" t="s">
        <v>2991</v>
      </c>
    </row>
    <row r="454" spans="1:3" x14ac:dyDescent="0.25">
      <c r="A454" t="s">
        <v>890</v>
      </c>
      <c r="B454" t="s">
        <v>3158</v>
      </c>
      <c r="C454" t="s">
        <v>3288</v>
      </c>
    </row>
    <row r="455" spans="1:3" x14ac:dyDescent="0.25">
      <c r="A455" t="s">
        <v>890</v>
      </c>
      <c r="B455" t="s">
        <v>1855</v>
      </c>
      <c r="C455" t="s">
        <v>2991</v>
      </c>
    </row>
    <row r="456" spans="1:3" x14ac:dyDescent="0.25">
      <c r="A456" t="s">
        <v>890</v>
      </c>
      <c r="B456" t="s">
        <v>3072</v>
      </c>
      <c r="C456" t="s">
        <v>3288</v>
      </c>
    </row>
    <row r="457" spans="1:3" x14ac:dyDescent="0.25">
      <c r="A457" t="s">
        <v>890</v>
      </c>
      <c r="B457" t="s">
        <v>3159</v>
      </c>
      <c r="C457" t="s">
        <v>3288</v>
      </c>
    </row>
    <row r="458" spans="1:3" x14ac:dyDescent="0.25">
      <c r="A458" t="s">
        <v>890</v>
      </c>
      <c r="B458" t="s">
        <v>2301</v>
      </c>
      <c r="C458" t="s">
        <v>2991</v>
      </c>
    </row>
    <row r="459" spans="1:3" x14ac:dyDescent="0.25">
      <c r="A459" t="s">
        <v>890</v>
      </c>
      <c r="B459" t="s">
        <v>1952</v>
      </c>
      <c r="C459" t="s">
        <v>2991</v>
      </c>
    </row>
    <row r="460" spans="1:3" x14ac:dyDescent="0.25">
      <c r="A460" t="s">
        <v>890</v>
      </c>
      <c r="B460" s="4" t="s">
        <v>1541</v>
      </c>
      <c r="C460" t="s">
        <v>2992</v>
      </c>
    </row>
    <row r="461" spans="1:3" x14ac:dyDescent="0.25">
      <c r="A461" t="s">
        <v>890</v>
      </c>
      <c r="B461" t="s">
        <v>3253</v>
      </c>
      <c r="C461" t="s">
        <v>3288</v>
      </c>
    </row>
    <row r="462" spans="1:3" x14ac:dyDescent="0.25">
      <c r="A462" t="s">
        <v>890</v>
      </c>
      <c r="B462" s="4" t="s">
        <v>1546</v>
      </c>
      <c r="C462" t="s">
        <v>2992</v>
      </c>
    </row>
    <row r="463" spans="1:3" x14ac:dyDescent="0.25">
      <c r="A463" t="s">
        <v>890</v>
      </c>
      <c r="B463" t="s">
        <v>2340</v>
      </c>
      <c r="C463" t="s">
        <v>2991</v>
      </c>
    </row>
    <row r="464" spans="1:3" x14ac:dyDescent="0.25">
      <c r="A464" t="s">
        <v>890</v>
      </c>
      <c r="B464" t="s">
        <v>2433</v>
      </c>
      <c r="C464" t="s">
        <v>2991</v>
      </c>
    </row>
    <row r="465" spans="1:3" x14ac:dyDescent="0.25">
      <c r="A465" t="s">
        <v>890</v>
      </c>
      <c r="B465" t="s">
        <v>1430</v>
      </c>
      <c r="C465" t="s">
        <v>953</v>
      </c>
    </row>
    <row r="466" spans="1:3" x14ac:dyDescent="0.25">
      <c r="A466" t="s">
        <v>890</v>
      </c>
      <c r="B466" t="s">
        <v>2314</v>
      </c>
      <c r="C466" t="s">
        <v>2991</v>
      </c>
    </row>
    <row r="467" spans="1:3" x14ac:dyDescent="0.25">
      <c r="A467" t="s">
        <v>890</v>
      </c>
      <c r="B467" t="s">
        <v>1361</v>
      </c>
      <c r="C467" t="s">
        <v>953</v>
      </c>
    </row>
    <row r="468" spans="1:3" x14ac:dyDescent="0.25">
      <c r="A468" t="s">
        <v>890</v>
      </c>
      <c r="B468" s="4" t="s">
        <v>1782</v>
      </c>
      <c r="C468" t="s">
        <v>2992</v>
      </c>
    </row>
    <row r="469" spans="1:3" x14ac:dyDescent="0.25">
      <c r="A469" t="s">
        <v>890</v>
      </c>
      <c r="B469" t="s">
        <v>962</v>
      </c>
      <c r="C469" t="s">
        <v>953</v>
      </c>
    </row>
    <row r="470" spans="1:3" x14ac:dyDescent="0.25">
      <c r="A470" t="s">
        <v>890</v>
      </c>
      <c r="B470" t="s">
        <v>2108</v>
      </c>
      <c r="C470" t="s">
        <v>2991</v>
      </c>
    </row>
    <row r="471" spans="1:3" x14ac:dyDescent="0.25">
      <c r="A471" t="s">
        <v>890</v>
      </c>
      <c r="B471" t="s">
        <v>2146</v>
      </c>
      <c r="C471" t="s">
        <v>2991</v>
      </c>
    </row>
    <row r="472" spans="1:3" x14ac:dyDescent="0.25">
      <c r="A472" t="s">
        <v>890</v>
      </c>
      <c r="B472" t="s">
        <v>1126</v>
      </c>
      <c r="C472" t="s">
        <v>953</v>
      </c>
    </row>
    <row r="473" spans="1:3" x14ac:dyDescent="0.25">
      <c r="A473" t="s">
        <v>890</v>
      </c>
      <c r="B473" t="s">
        <v>3152</v>
      </c>
      <c r="C473" t="s">
        <v>3288</v>
      </c>
    </row>
    <row r="474" spans="1:3" x14ac:dyDescent="0.25">
      <c r="A474" t="s">
        <v>890</v>
      </c>
      <c r="B474" t="s">
        <v>3277</v>
      </c>
      <c r="C474" t="s">
        <v>3288</v>
      </c>
    </row>
    <row r="475" spans="1:3" x14ac:dyDescent="0.25">
      <c r="A475" t="s">
        <v>890</v>
      </c>
      <c r="B475" s="4" t="s">
        <v>1730</v>
      </c>
      <c r="C475" t="s">
        <v>2992</v>
      </c>
    </row>
    <row r="476" spans="1:3" x14ac:dyDescent="0.25">
      <c r="A476" t="s">
        <v>890</v>
      </c>
      <c r="B476" t="s">
        <v>3191</v>
      </c>
      <c r="C476" t="s">
        <v>3288</v>
      </c>
    </row>
    <row r="477" spans="1:3" x14ac:dyDescent="0.25">
      <c r="A477" t="s">
        <v>890</v>
      </c>
      <c r="B477" t="s">
        <v>1105</v>
      </c>
      <c r="C477" t="s">
        <v>953</v>
      </c>
    </row>
    <row r="478" spans="1:3" x14ac:dyDescent="0.25">
      <c r="A478" t="s">
        <v>890</v>
      </c>
      <c r="B478" t="s">
        <v>1456</v>
      </c>
      <c r="C478" t="s">
        <v>953</v>
      </c>
    </row>
    <row r="479" spans="1:3" x14ac:dyDescent="0.25">
      <c r="A479" t="s">
        <v>890</v>
      </c>
      <c r="B479" t="s">
        <v>1013</v>
      </c>
      <c r="C479" t="s">
        <v>953</v>
      </c>
    </row>
    <row r="480" spans="1:3" x14ac:dyDescent="0.25">
      <c r="A480" t="s">
        <v>890</v>
      </c>
      <c r="B480" t="s">
        <v>2054</v>
      </c>
      <c r="C480" t="s">
        <v>2991</v>
      </c>
    </row>
    <row r="481" spans="1:3" x14ac:dyDescent="0.25">
      <c r="A481" t="s">
        <v>890</v>
      </c>
      <c r="B481" t="s">
        <v>3192</v>
      </c>
      <c r="C481" t="s">
        <v>3288</v>
      </c>
    </row>
    <row r="482" spans="1:3" x14ac:dyDescent="0.25">
      <c r="A482" t="s">
        <v>890</v>
      </c>
      <c r="B482" s="4" t="s">
        <v>1669</v>
      </c>
      <c r="C482" t="s">
        <v>2992</v>
      </c>
    </row>
    <row r="483" spans="1:3" x14ac:dyDescent="0.25">
      <c r="A483" t="s">
        <v>890</v>
      </c>
      <c r="B483" t="s">
        <v>1048</v>
      </c>
      <c r="C483" t="s">
        <v>953</v>
      </c>
    </row>
    <row r="484" spans="1:3" x14ac:dyDescent="0.25">
      <c r="A484" t="s">
        <v>890</v>
      </c>
      <c r="B484" t="s">
        <v>2995</v>
      </c>
      <c r="C484" t="s">
        <v>3288</v>
      </c>
    </row>
    <row r="485" spans="1:3" x14ac:dyDescent="0.25">
      <c r="A485" t="s">
        <v>890</v>
      </c>
      <c r="B485" t="s">
        <v>1196</v>
      </c>
      <c r="C485" t="s">
        <v>953</v>
      </c>
    </row>
    <row r="486" spans="1:3" x14ac:dyDescent="0.25">
      <c r="A486" t="s">
        <v>890</v>
      </c>
      <c r="B486" s="4" t="s">
        <v>1780</v>
      </c>
      <c r="C486" t="s">
        <v>2992</v>
      </c>
    </row>
    <row r="487" spans="1:3" x14ac:dyDescent="0.25">
      <c r="A487" t="s">
        <v>890</v>
      </c>
      <c r="B487" t="s">
        <v>2014</v>
      </c>
      <c r="C487" t="s">
        <v>2991</v>
      </c>
    </row>
    <row r="488" spans="1:3" x14ac:dyDescent="0.25">
      <c r="A488" t="s">
        <v>890</v>
      </c>
      <c r="B488" t="s">
        <v>1510</v>
      </c>
      <c r="C488" t="s">
        <v>953</v>
      </c>
    </row>
    <row r="489" spans="1:3" x14ac:dyDescent="0.25">
      <c r="A489" t="s">
        <v>890</v>
      </c>
      <c r="B489" t="s">
        <v>1135</v>
      </c>
      <c r="C489" t="s">
        <v>953</v>
      </c>
    </row>
    <row r="490" spans="1:3" x14ac:dyDescent="0.25">
      <c r="A490" t="s">
        <v>890</v>
      </c>
      <c r="B490" s="4" t="s">
        <v>1687</v>
      </c>
      <c r="C490" t="s">
        <v>2992</v>
      </c>
    </row>
    <row r="491" spans="1:3" x14ac:dyDescent="0.25">
      <c r="A491" t="s">
        <v>890</v>
      </c>
      <c r="B491" t="s">
        <v>1313</v>
      </c>
      <c r="C491" t="s">
        <v>953</v>
      </c>
    </row>
    <row r="492" spans="1:3" x14ac:dyDescent="0.25">
      <c r="A492" t="s">
        <v>890</v>
      </c>
      <c r="B492" s="4" t="s">
        <v>1779</v>
      </c>
      <c r="C492" t="s">
        <v>2992</v>
      </c>
    </row>
    <row r="493" spans="1:3" x14ac:dyDescent="0.25">
      <c r="A493" t="s">
        <v>890</v>
      </c>
      <c r="B493" t="s">
        <v>2396</v>
      </c>
      <c r="C493" t="s">
        <v>2991</v>
      </c>
    </row>
    <row r="494" spans="1:3" x14ac:dyDescent="0.25">
      <c r="A494" t="s">
        <v>890</v>
      </c>
      <c r="B494" t="s">
        <v>3094</v>
      </c>
      <c r="C494" t="s">
        <v>3288</v>
      </c>
    </row>
    <row r="495" spans="1:3" x14ac:dyDescent="0.25">
      <c r="A495" t="s">
        <v>890</v>
      </c>
      <c r="B495" t="s">
        <v>2157</v>
      </c>
      <c r="C495" t="s">
        <v>2991</v>
      </c>
    </row>
    <row r="496" spans="1:3" x14ac:dyDescent="0.25">
      <c r="A496" t="s">
        <v>890</v>
      </c>
      <c r="B496" t="s">
        <v>1276</v>
      </c>
      <c r="C496" t="s">
        <v>953</v>
      </c>
    </row>
    <row r="497" spans="1:3" x14ac:dyDescent="0.25">
      <c r="A497" t="s">
        <v>890</v>
      </c>
      <c r="B497" t="s">
        <v>3257</v>
      </c>
      <c r="C497" t="s">
        <v>3288</v>
      </c>
    </row>
    <row r="498" spans="1:3" x14ac:dyDescent="0.25">
      <c r="A498" t="s">
        <v>890</v>
      </c>
      <c r="B498" s="4" t="s">
        <v>1562</v>
      </c>
      <c r="C498" t="s">
        <v>2992</v>
      </c>
    </row>
    <row r="499" spans="1:3" x14ac:dyDescent="0.25">
      <c r="A499" t="s">
        <v>890</v>
      </c>
      <c r="B499" t="s">
        <v>1404</v>
      </c>
      <c r="C499" t="s">
        <v>953</v>
      </c>
    </row>
    <row r="500" spans="1:3" x14ac:dyDescent="0.25">
      <c r="A500" t="s">
        <v>890</v>
      </c>
      <c r="B500" t="s">
        <v>3216</v>
      </c>
      <c r="C500" t="s">
        <v>3288</v>
      </c>
    </row>
    <row r="501" spans="1:3" x14ac:dyDescent="0.25">
      <c r="A501" t="s">
        <v>890</v>
      </c>
      <c r="B501" t="s">
        <v>1857</v>
      </c>
      <c r="C501" t="s">
        <v>2991</v>
      </c>
    </row>
    <row r="502" spans="1:3" x14ac:dyDescent="0.25">
      <c r="A502" t="s">
        <v>890</v>
      </c>
      <c r="B502" t="s">
        <v>1485</v>
      </c>
      <c r="C502" t="s">
        <v>953</v>
      </c>
    </row>
    <row r="503" spans="1:3" x14ac:dyDescent="0.25">
      <c r="A503" t="s">
        <v>890</v>
      </c>
      <c r="B503" t="s">
        <v>1403</v>
      </c>
      <c r="C503" t="s">
        <v>953</v>
      </c>
    </row>
    <row r="504" spans="1:3" x14ac:dyDescent="0.25">
      <c r="A504" t="s">
        <v>890</v>
      </c>
      <c r="B504" t="s">
        <v>3081</v>
      </c>
      <c r="C504" t="s">
        <v>3288</v>
      </c>
    </row>
    <row r="505" spans="1:3" x14ac:dyDescent="0.25">
      <c r="A505" t="s">
        <v>890</v>
      </c>
      <c r="B505" t="s">
        <v>3236</v>
      </c>
      <c r="C505" t="s">
        <v>3288</v>
      </c>
    </row>
    <row r="506" spans="1:3" x14ac:dyDescent="0.25">
      <c r="A506" t="s">
        <v>890</v>
      </c>
      <c r="B506" t="s">
        <v>1906</v>
      </c>
      <c r="C506" t="s">
        <v>2991</v>
      </c>
    </row>
    <row r="507" spans="1:3" x14ac:dyDescent="0.25">
      <c r="A507" t="s">
        <v>890</v>
      </c>
      <c r="B507" s="4" t="s">
        <v>1665</v>
      </c>
      <c r="C507" t="s">
        <v>2992</v>
      </c>
    </row>
    <row r="508" spans="1:3" x14ac:dyDescent="0.25">
      <c r="A508" t="s">
        <v>890</v>
      </c>
      <c r="B508" t="s">
        <v>3234</v>
      </c>
      <c r="C508" t="s">
        <v>3288</v>
      </c>
    </row>
    <row r="509" spans="1:3" x14ac:dyDescent="0.25">
      <c r="A509" t="s">
        <v>890</v>
      </c>
      <c r="B509" t="s">
        <v>3176</v>
      </c>
      <c r="C509" t="s">
        <v>3288</v>
      </c>
    </row>
    <row r="510" spans="1:3" x14ac:dyDescent="0.25">
      <c r="A510" t="s">
        <v>890</v>
      </c>
      <c r="B510" t="s">
        <v>2092</v>
      </c>
      <c r="C510" t="s">
        <v>2991</v>
      </c>
    </row>
    <row r="511" spans="1:3" x14ac:dyDescent="0.25">
      <c r="A511" t="s">
        <v>890</v>
      </c>
      <c r="B511" t="s">
        <v>3007</v>
      </c>
      <c r="C511" t="s">
        <v>3288</v>
      </c>
    </row>
    <row r="512" spans="1:3" x14ac:dyDescent="0.25">
      <c r="A512" t="s">
        <v>890</v>
      </c>
      <c r="B512" t="s">
        <v>1410</v>
      </c>
      <c r="C512" t="s">
        <v>953</v>
      </c>
    </row>
    <row r="513" spans="1:3" x14ac:dyDescent="0.25">
      <c r="A513" t="s">
        <v>890</v>
      </c>
      <c r="B513" t="s">
        <v>1922</v>
      </c>
      <c r="C513" t="s">
        <v>2991</v>
      </c>
    </row>
    <row r="514" spans="1:3" x14ac:dyDescent="0.25">
      <c r="A514" t="s">
        <v>890</v>
      </c>
      <c r="B514" s="4" t="s">
        <v>1707</v>
      </c>
      <c r="C514" t="s">
        <v>2992</v>
      </c>
    </row>
    <row r="515" spans="1:3" x14ac:dyDescent="0.25">
      <c r="A515" t="s">
        <v>890</v>
      </c>
      <c r="B515" t="s">
        <v>1457</v>
      </c>
      <c r="C515" t="s">
        <v>953</v>
      </c>
    </row>
    <row r="516" spans="1:3" x14ac:dyDescent="0.25">
      <c r="A516" t="s">
        <v>890</v>
      </c>
      <c r="B516" t="s">
        <v>1066</v>
      </c>
      <c r="C516" t="s">
        <v>953</v>
      </c>
    </row>
    <row r="517" spans="1:3" x14ac:dyDescent="0.25">
      <c r="A517" t="s">
        <v>890</v>
      </c>
      <c r="B517" t="s">
        <v>2384</v>
      </c>
      <c r="C517" t="s">
        <v>2991</v>
      </c>
    </row>
    <row r="518" spans="1:3" x14ac:dyDescent="0.25">
      <c r="A518" t="s">
        <v>890</v>
      </c>
      <c r="B518" t="s">
        <v>1521</v>
      </c>
      <c r="C518" t="s">
        <v>953</v>
      </c>
    </row>
    <row r="519" spans="1:3" x14ac:dyDescent="0.25">
      <c r="A519" t="s">
        <v>890</v>
      </c>
      <c r="B519" t="s">
        <v>3143</v>
      </c>
      <c r="C519" t="s">
        <v>3288</v>
      </c>
    </row>
    <row r="520" spans="1:3" x14ac:dyDescent="0.25">
      <c r="A520" t="s">
        <v>890</v>
      </c>
      <c r="B520" t="s">
        <v>2219</v>
      </c>
      <c r="C520" t="s">
        <v>2991</v>
      </c>
    </row>
    <row r="521" spans="1:3" x14ac:dyDescent="0.25">
      <c r="A521" t="s">
        <v>890</v>
      </c>
      <c r="B521" s="4" t="s">
        <v>1641</v>
      </c>
      <c r="C521" t="s">
        <v>2992</v>
      </c>
    </row>
    <row r="522" spans="1:3" x14ac:dyDescent="0.25">
      <c r="A522" t="s">
        <v>890</v>
      </c>
      <c r="B522" t="s">
        <v>3126</v>
      </c>
      <c r="C522" t="s">
        <v>3288</v>
      </c>
    </row>
    <row r="523" spans="1:3" x14ac:dyDescent="0.25">
      <c r="A523" t="s">
        <v>890</v>
      </c>
      <c r="B523" t="s">
        <v>3118</v>
      </c>
      <c r="C523" t="s">
        <v>3288</v>
      </c>
    </row>
    <row r="524" spans="1:3" x14ac:dyDescent="0.25">
      <c r="A524" t="s">
        <v>890</v>
      </c>
      <c r="B524" t="s">
        <v>1974</v>
      </c>
      <c r="C524" t="s">
        <v>2991</v>
      </c>
    </row>
    <row r="525" spans="1:3" x14ac:dyDescent="0.25">
      <c r="A525" t="s">
        <v>890</v>
      </c>
      <c r="B525" t="s">
        <v>3005</v>
      </c>
      <c r="C525" t="s">
        <v>3288</v>
      </c>
    </row>
    <row r="526" spans="1:3" x14ac:dyDescent="0.25">
      <c r="A526" t="s">
        <v>890</v>
      </c>
      <c r="B526" s="4" t="s">
        <v>1746</v>
      </c>
      <c r="C526" t="s">
        <v>2992</v>
      </c>
    </row>
    <row r="527" spans="1:3" x14ac:dyDescent="0.25">
      <c r="A527" t="s">
        <v>890</v>
      </c>
      <c r="B527" t="s">
        <v>1848</v>
      </c>
      <c r="C527" t="s">
        <v>2991</v>
      </c>
    </row>
    <row r="528" spans="1:3" x14ac:dyDescent="0.25">
      <c r="A528" t="s">
        <v>890</v>
      </c>
      <c r="B528" t="s">
        <v>3036</v>
      </c>
      <c r="C528" t="s">
        <v>3288</v>
      </c>
    </row>
    <row r="529" spans="1:3" x14ac:dyDescent="0.25">
      <c r="A529" t="s">
        <v>890</v>
      </c>
      <c r="B529" t="s">
        <v>2093</v>
      </c>
      <c r="C529" t="s">
        <v>2991</v>
      </c>
    </row>
    <row r="530" spans="1:3" x14ac:dyDescent="0.25">
      <c r="A530" t="s">
        <v>890</v>
      </c>
      <c r="B530" t="s">
        <v>3179</v>
      </c>
      <c r="C530" t="s">
        <v>3288</v>
      </c>
    </row>
    <row r="531" spans="1:3" x14ac:dyDescent="0.25">
      <c r="A531" t="s">
        <v>890</v>
      </c>
      <c r="B531" s="4" t="s">
        <v>1759</v>
      </c>
      <c r="C531" t="s">
        <v>2992</v>
      </c>
    </row>
    <row r="532" spans="1:3" x14ac:dyDescent="0.25">
      <c r="A532" t="s">
        <v>890</v>
      </c>
      <c r="B532" s="4" t="s">
        <v>1631</v>
      </c>
      <c r="C532" t="s">
        <v>2992</v>
      </c>
    </row>
    <row r="533" spans="1:3" x14ac:dyDescent="0.25">
      <c r="A533" t="s">
        <v>890</v>
      </c>
      <c r="B533" s="4" t="s">
        <v>1781</v>
      </c>
      <c r="C533" t="s">
        <v>2992</v>
      </c>
    </row>
    <row r="534" spans="1:3" x14ac:dyDescent="0.25">
      <c r="A534" t="s">
        <v>890</v>
      </c>
      <c r="B534" t="s">
        <v>1505</v>
      </c>
      <c r="C534" t="s">
        <v>953</v>
      </c>
    </row>
    <row r="535" spans="1:3" x14ac:dyDescent="0.25">
      <c r="A535" t="s">
        <v>890</v>
      </c>
      <c r="B535" s="4" t="s">
        <v>1787</v>
      </c>
      <c r="C535" t="s">
        <v>2992</v>
      </c>
    </row>
    <row r="536" spans="1:3" x14ac:dyDescent="0.25">
      <c r="A536" t="s">
        <v>890</v>
      </c>
      <c r="B536" t="s">
        <v>3134</v>
      </c>
      <c r="C536" t="s">
        <v>3288</v>
      </c>
    </row>
    <row r="537" spans="1:3" x14ac:dyDescent="0.25">
      <c r="A537" t="s">
        <v>890</v>
      </c>
      <c r="B537" s="4" t="s">
        <v>1577</v>
      </c>
      <c r="C537" t="s">
        <v>2992</v>
      </c>
    </row>
    <row r="538" spans="1:3" x14ac:dyDescent="0.25">
      <c r="A538" t="s">
        <v>890</v>
      </c>
      <c r="B538" t="s">
        <v>3213</v>
      </c>
      <c r="C538" t="s">
        <v>3288</v>
      </c>
    </row>
    <row r="539" spans="1:3" x14ac:dyDescent="0.25">
      <c r="A539" t="s">
        <v>890</v>
      </c>
      <c r="B539" t="s">
        <v>1497</v>
      </c>
      <c r="C539" t="s">
        <v>953</v>
      </c>
    </row>
    <row r="540" spans="1:3" x14ac:dyDescent="0.25">
      <c r="A540" t="s">
        <v>890</v>
      </c>
      <c r="B540" t="s">
        <v>1434</v>
      </c>
      <c r="C540" t="s">
        <v>953</v>
      </c>
    </row>
    <row r="541" spans="1:3" x14ac:dyDescent="0.25">
      <c r="A541" t="s">
        <v>890</v>
      </c>
      <c r="B541" t="s">
        <v>2260</v>
      </c>
      <c r="C541" t="s">
        <v>2991</v>
      </c>
    </row>
    <row r="542" spans="1:3" x14ac:dyDescent="0.25">
      <c r="A542" t="s">
        <v>890</v>
      </c>
      <c r="B542" t="s">
        <v>1122</v>
      </c>
      <c r="C542" t="s">
        <v>953</v>
      </c>
    </row>
    <row r="543" spans="1:3" x14ac:dyDescent="0.25">
      <c r="A543" t="s">
        <v>890</v>
      </c>
      <c r="B543" t="s">
        <v>2111</v>
      </c>
      <c r="C543" t="s">
        <v>2991</v>
      </c>
    </row>
    <row r="544" spans="1:3" x14ac:dyDescent="0.25">
      <c r="A544" t="s">
        <v>890</v>
      </c>
      <c r="B544" t="s">
        <v>1381</v>
      </c>
      <c r="C544" t="s">
        <v>953</v>
      </c>
    </row>
    <row r="545" spans="1:3" x14ac:dyDescent="0.25">
      <c r="A545" t="s">
        <v>890</v>
      </c>
      <c r="B545" t="s">
        <v>3224</v>
      </c>
      <c r="C545" t="s">
        <v>3288</v>
      </c>
    </row>
    <row r="546" spans="1:3" x14ac:dyDescent="0.25">
      <c r="A546" t="s">
        <v>890</v>
      </c>
      <c r="B546" t="s">
        <v>2039</v>
      </c>
      <c r="C546" t="s">
        <v>2991</v>
      </c>
    </row>
    <row r="547" spans="1:3" x14ac:dyDescent="0.25">
      <c r="A547" t="s">
        <v>890</v>
      </c>
      <c r="B547" t="s">
        <v>1390</v>
      </c>
      <c r="C547" t="s">
        <v>953</v>
      </c>
    </row>
    <row r="548" spans="1:3" x14ac:dyDescent="0.25">
      <c r="A548" t="s">
        <v>890</v>
      </c>
      <c r="B548" t="s">
        <v>1416</v>
      </c>
      <c r="C548" t="s">
        <v>953</v>
      </c>
    </row>
    <row r="549" spans="1:3" x14ac:dyDescent="0.25">
      <c r="A549" t="s">
        <v>890</v>
      </c>
      <c r="B549" t="s">
        <v>2145</v>
      </c>
      <c r="C549" t="s">
        <v>2991</v>
      </c>
    </row>
    <row r="550" spans="1:3" x14ac:dyDescent="0.25">
      <c r="A550" t="s">
        <v>890</v>
      </c>
      <c r="B550" t="s">
        <v>1398</v>
      </c>
      <c r="C550" t="s">
        <v>953</v>
      </c>
    </row>
    <row r="551" spans="1:3" x14ac:dyDescent="0.25">
      <c r="A551" t="s">
        <v>890</v>
      </c>
      <c r="B551" t="s">
        <v>3138</v>
      </c>
      <c r="C551" t="s">
        <v>3288</v>
      </c>
    </row>
    <row r="552" spans="1:3" x14ac:dyDescent="0.25">
      <c r="A552" t="s">
        <v>890</v>
      </c>
      <c r="B552" t="s">
        <v>1377</v>
      </c>
      <c r="C552" t="s">
        <v>3288</v>
      </c>
    </row>
    <row r="553" spans="1:3" x14ac:dyDescent="0.25">
      <c r="A553" t="s">
        <v>890</v>
      </c>
      <c r="B553" s="4" t="s">
        <v>1803</v>
      </c>
      <c r="C553" t="s">
        <v>2992</v>
      </c>
    </row>
    <row r="554" spans="1:3" x14ac:dyDescent="0.25">
      <c r="A554" t="s">
        <v>890</v>
      </c>
      <c r="B554" t="s">
        <v>3202</v>
      </c>
      <c r="C554" t="s">
        <v>3288</v>
      </c>
    </row>
    <row r="555" spans="1:3" x14ac:dyDescent="0.25">
      <c r="A555" t="s">
        <v>890</v>
      </c>
      <c r="B555" s="4" t="s">
        <v>1718</v>
      </c>
      <c r="C555" t="s">
        <v>2992</v>
      </c>
    </row>
    <row r="556" spans="1:3" x14ac:dyDescent="0.25">
      <c r="A556" t="s">
        <v>890</v>
      </c>
      <c r="B556" t="s">
        <v>3106</v>
      </c>
      <c r="C556" t="s">
        <v>3288</v>
      </c>
    </row>
    <row r="557" spans="1:3" x14ac:dyDescent="0.25">
      <c r="A557" t="s">
        <v>890</v>
      </c>
      <c r="B557" t="s">
        <v>2094</v>
      </c>
      <c r="C557" t="s">
        <v>2991</v>
      </c>
    </row>
    <row r="558" spans="1:3" x14ac:dyDescent="0.25">
      <c r="A558" t="s">
        <v>890</v>
      </c>
      <c r="B558" t="s">
        <v>3282</v>
      </c>
      <c r="C558" t="s">
        <v>3288</v>
      </c>
    </row>
    <row r="559" spans="1:3" x14ac:dyDescent="0.25">
      <c r="A559" t="s">
        <v>890</v>
      </c>
      <c r="B559" t="s">
        <v>2311</v>
      </c>
      <c r="C559" t="s">
        <v>2991</v>
      </c>
    </row>
    <row r="560" spans="1:3" x14ac:dyDescent="0.25">
      <c r="A560" t="s">
        <v>890</v>
      </c>
      <c r="B560" t="s">
        <v>1972</v>
      </c>
      <c r="C560" t="s">
        <v>2991</v>
      </c>
    </row>
    <row r="561" spans="1:3" x14ac:dyDescent="0.25">
      <c r="A561" t="s">
        <v>890</v>
      </c>
      <c r="B561" s="4" t="s">
        <v>1540</v>
      </c>
      <c r="C561" t="s">
        <v>2992</v>
      </c>
    </row>
    <row r="562" spans="1:3" x14ac:dyDescent="0.25">
      <c r="A562" t="s">
        <v>890</v>
      </c>
      <c r="B562" s="4" t="s">
        <v>1770</v>
      </c>
      <c r="C562" t="s">
        <v>2992</v>
      </c>
    </row>
    <row r="563" spans="1:3" x14ac:dyDescent="0.25">
      <c r="A563" t="s">
        <v>890</v>
      </c>
      <c r="B563" t="s">
        <v>3014</v>
      </c>
      <c r="C563" t="s">
        <v>3288</v>
      </c>
    </row>
    <row r="564" spans="1:3" x14ac:dyDescent="0.25">
      <c r="A564" t="s">
        <v>890</v>
      </c>
      <c r="B564" t="s">
        <v>1376</v>
      </c>
      <c r="C564" t="s">
        <v>953</v>
      </c>
    </row>
    <row r="565" spans="1:3" x14ac:dyDescent="0.25">
      <c r="A565" t="s">
        <v>890</v>
      </c>
      <c r="B565" t="s">
        <v>3280</v>
      </c>
      <c r="C565" t="s">
        <v>3288</v>
      </c>
    </row>
    <row r="566" spans="1:3" x14ac:dyDescent="0.25">
      <c r="A566" t="s">
        <v>890</v>
      </c>
      <c r="B566" s="4" t="s">
        <v>1774</v>
      </c>
      <c r="C566" t="s">
        <v>2992</v>
      </c>
    </row>
    <row r="567" spans="1:3" x14ac:dyDescent="0.25">
      <c r="A567" t="s">
        <v>890</v>
      </c>
      <c r="B567" t="s">
        <v>1445</v>
      </c>
      <c r="C567" t="s">
        <v>953</v>
      </c>
    </row>
    <row r="568" spans="1:3" x14ac:dyDescent="0.25">
      <c r="A568" t="s">
        <v>890</v>
      </c>
      <c r="B568" t="s">
        <v>3241</v>
      </c>
      <c r="C568" t="s">
        <v>3288</v>
      </c>
    </row>
    <row r="569" spans="1:3" x14ac:dyDescent="0.25">
      <c r="A569" t="s">
        <v>890</v>
      </c>
      <c r="B569" t="s">
        <v>1494</v>
      </c>
      <c r="C569" t="s">
        <v>953</v>
      </c>
    </row>
    <row r="570" spans="1:3" x14ac:dyDescent="0.25">
      <c r="A570" t="s">
        <v>890</v>
      </c>
      <c r="B570" t="s">
        <v>3002</v>
      </c>
      <c r="C570" t="s">
        <v>3288</v>
      </c>
    </row>
    <row r="571" spans="1:3" x14ac:dyDescent="0.25">
      <c r="A571" t="s">
        <v>890</v>
      </c>
      <c r="B571" t="s">
        <v>1155</v>
      </c>
      <c r="C571" t="s">
        <v>953</v>
      </c>
    </row>
    <row r="572" spans="1:3" x14ac:dyDescent="0.25">
      <c r="A572" t="s">
        <v>890</v>
      </c>
      <c r="B572" t="s">
        <v>1925</v>
      </c>
      <c r="C572" t="s">
        <v>2991</v>
      </c>
    </row>
    <row r="573" spans="1:3" x14ac:dyDescent="0.25">
      <c r="A573" t="s">
        <v>890</v>
      </c>
      <c r="B573" t="s">
        <v>2077</v>
      </c>
      <c r="C573" t="s">
        <v>2991</v>
      </c>
    </row>
    <row r="574" spans="1:3" x14ac:dyDescent="0.25">
      <c r="A574" t="s">
        <v>890</v>
      </c>
      <c r="B574" t="s">
        <v>1467</v>
      </c>
      <c r="C574" t="s">
        <v>953</v>
      </c>
    </row>
    <row r="575" spans="1:3" x14ac:dyDescent="0.25">
      <c r="A575" t="s">
        <v>890</v>
      </c>
      <c r="B575" t="s">
        <v>1302</v>
      </c>
      <c r="C575" t="s">
        <v>953</v>
      </c>
    </row>
    <row r="576" spans="1:3" x14ac:dyDescent="0.25">
      <c r="A576" t="s">
        <v>890</v>
      </c>
      <c r="B576" t="s">
        <v>1503</v>
      </c>
      <c r="C576" t="s">
        <v>953</v>
      </c>
    </row>
    <row r="577" spans="1:3" x14ac:dyDescent="0.25">
      <c r="A577" t="s">
        <v>890</v>
      </c>
      <c r="B577" t="s">
        <v>3075</v>
      </c>
      <c r="C577" t="s">
        <v>3288</v>
      </c>
    </row>
    <row r="578" spans="1:3" x14ac:dyDescent="0.25">
      <c r="A578" t="s">
        <v>890</v>
      </c>
      <c r="B578" s="4" t="s">
        <v>1623</v>
      </c>
      <c r="C578" t="s">
        <v>2992</v>
      </c>
    </row>
    <row r="579" spans="1:3" x14ac:dyDescent="0.25">
      <c r="A579" t="s">
        <v>890</v>
      </c>
      <c r="B579" t="s">
        <v>3017</v>
      </c>
      <c r="C579" t="s">
        <v>3288</v>
      </c>
    </row>
    <row r="580" spans="1:3" x14ac:dyDescent="0.25">
      <c r="A580" t="s">
        <v>890</v>
      </c>
      <c r="B580" t="s">
        <v>1131</v>
      </c>
      <c r="C580" t="s">
        <v>953</v>
      </c>
    </row>
    <row r="581" spans="1:3" x14ac:dyDescent="0.25">
      <c r="A581" t="s">
        <v>890</v>
      </c>
      <c r="B581" s="4" t="s">
        <v>1700</v>
      </c>
      <c r="C581" t="s">
        <v>2992</v>
      </c>
    </row>
    <row r="582" spans="1:3" x14ac:dyDescent="0.25">
      <c r="A582" t="s">
        <v>890</v>
      </c>
      <c r="B582" t="s">
        <v>1488</v>
      </c>
      <c r="C582" t="s">
        <v>953</v>
      </c>
    </row>
    <row r="583" spans="1:3" x14ac:dyDescent="0.25">
      <c r="A583" t="s">
        <v>890</v>
      </c>
      <c r="B583" s="4" t="s">
        <v>1646</v>
      </c>
      <c r="C583" t="s">
        <v>2992</v>
      </c>
    </row>
    <row r="584" spans="1:3" x14ac:dyDescent="0.25">
      <c r="A584" t="s">
        <v>890</v>
      </c>
      <c r="B584" t="s">
        <v>3228</v>
      </c>
      <c r="C584" t="s">
        <v>3288</v>
      </c>
    </row>
    <row r="585" spans="1:3" x14ac:dyDescent="0.25">
      <c r="A585" t="s">
        <v>890</v>
      </c>
      <c r="B585" s="4" t="s">
        <v>1674</v>
      </c>
      <c r="C585" t="s">
        <v>2992</v>
      </c>
    </row>
    <row r="586" spans="1:3" x14ac:dyDescent="0.25">
      <c r="A586" t="s">
        <v>890</v>
      </c>
      <c r="B586" t="s">
        <v>3247</v>
      </c>
      <c r="C586" t="s">
        <v>3288</v>
      </c>
    </row>
    <row r="587" spans="1:3" x14ac:dyDescent="0.25">
      <c r="A587" t="s">
        <v>890</v>
      </c>
      <c r="B587" t="s">
        <v>3189</v>
      </c>
      <c r="C587" t="s">
        <v>3288</v>
      </c>
    </row>
    <row r="588" spans="1:3" x14ac:dyDescent="0.25">
      <c r="A588" t="s">
        <v>890</v>
      </c>
      <c r="B588" t="s">
        <v>1283</v>
      </c>
      <c r="C588" t="s">
        <v>953</v>
      </c>
    </row>
    <row r="589" spans="1:3" x14ac:dyDescent="0.25">
      <c r="A589" t="s">
        <v>890</v>
      </c>
      <c r="B589" s="4" t="s">
        <v>1735</v>
      </c>
      <c r="C589" t="s">
        <v>2992</v>
      </c>
    </row>
    <row r="590" spans="1:3" x14ac:dyDescent="0.25">
      <c r="A590" t="s">
        <v>890</v>
      </c>
      <c r="B590" t="s">
        <v>1437</v>
      </c>
      <c r="C590" t="s">
        <v>953</v>
      </c>
    </row>
    <row r="591" spans="1:3" x14ac:dyDescent="0.25">
      <c r="A591" t="s">
        <v>890</v>
      </c>
      <c r="B591" t="s">
        <v>2267</v>
      </c>
      <c r="C591" t="s">
        <v>2991</v>
      </c>
    </row>
    <row r="592" spans="1:3" x14ac:dyDescent="0.25">
      <c r="A592" t="s">
        <v>890</v>
      </c>
      <c r="B592" t="s">
        <v>1492</v>
      </c>
      <c r="C592" t="s">
        <v>953</v>
      </c>
    </row>
    <row r="593" spans="1:3" x14ac:dyDescent="0.25">
      <c r="A593" t="s">
        <v>890</v>
      </c>
      <c r="B593" t="s">
        <v>2025</v>
      </c>
      <c r="C593" t="s">
        <v>2991</v>
      </c>
    </row>
    <row r="594" spans="1:3" x14ac:dyDescent="0.25">
      <c r="A594" t="s">
        <v>890</v>
      </c>
      <c r="B594" s="5" t="s">
        <v>1918</v>
      </c>
      <c r="C594" t="s">
        <v>2991</v>
      </c>
    </row>
    <row r="595" spans="1:3" x14ac:dyDescent="0.25">
      <c r="A595" t="s">
        <v>890</v>
      </c>
      <c r="B595" s="5" t="s">
        <v>2015</v>
      </c>
      <c r="C595" t="s">
        <v>2991</v>
      </c>
    </row>
    <row r="596" spans="1:3" x14ac:dyDescent="0.25">
      <c r="A596" t="s">
        <v>890</v>
      </c>
      <c r="B596" s="5" t="s">
        <v>3154</v>
      </c>
      <c r="C596" t="s">
        <v>3288</v>
      </c>
    </row>
    <row r="597" spans="1:3" x14ac:dyDescent="0.25">
      <c r="A597" t="s">
        <v>890</v>
      </c>
      <c r="B597" s="5" t="s">
        <v>3271</v>
      </c>
      <c r="C597" t="s">
        <v>3288</v>
      </c>
    </row>
    <row r="598" spans="1:3" x14ac:dyDescent="0.25">
      <c r="A598" t="s">
        <v>890</v>
      </c>
      <c r="B598" s="5" t="s">
        <v>2009</v>
      </c>
      <c r="C598" t="s">
        <v>2991</v>
      </c>
    </row>
    <row r="599" spans="1:3" x14ac:dyDescent="0.25">
      <c r="A599" t="s">
        <v>890</v>
      </c>
      <c r="B599" s="5" t="s">
        <v>2220</v>
      </c>
      <c r="C599" t="s">
        <v>2991</v>
      </c>
    </row>
    <row r="600" spans="1:3" x14ac:dyDescent="0.25">
      <c r="A600" t="s">
        <v>890</v>
      </c>
      <c r="B600" s="5" t="s">
        <v>2442</v>
      </c>
      <c r="C600" t="s">
        <v>2991</v>
      </c>
    </row>
    <row r="601" spans="1:3" x14ac:dyDescent="0.25">
      <c r="A601" t="s">
        <v>890</v>
      </c>
      <c r="B601" s="5" t="s">
        <v>1872</v>
      </c>
      <c r="C601" t="s">
        <v>2991</v>
      </c>
    </row>
    <row r="602" spans="1:3" x14ac:dyDescent="0.25">
      <c r="A602" t="s">
        <v>890</v>
      </c>
      <c r="B602" s="5" t="s">
        <v>2437</v>
      </c>
      <c r="C602" t="s">
        <v>2991</v>
      </c>
    </row>
    <row r="603" spans="1:3" x14ac:dyDescent="0.25">
      <c r="A603" t="s">
        <v>890</v>
      </c>
      <c r="B603" s="5" t="s">
        <v>1368</v>
      </c>
      <c r="C603" t="s">
        <v>953</v>
      </c>
    </row>
    <row r="604" spans="1:3" x14ac:dyDescent="0.25">
      <c r="A604" t="s">
        <v>890</v>
      </c>
      <c r="B604" s="5" t="s">
        <v>1318</v>
      </c>
      <c r="C604" t="s">
        <v>953</v>
      </c>
    </row>
    <row r="605" spans="1:3" x14ac:dyDescent="0.25">
      <c r="A605" t="s">
        <v>890</v>
      </c>
      <c r="B605" s="5" t="s">
        <v>2192</v>
      </c>
      <c r="C605" t="s">
        <v>2991</v>
      </c>
    </row>
    <row r="606" spans="1:3" x14ac:dyDescent="0.25">
      <c r="A606" t="s">
        <v>890</v>
      </c>
      <c r="B606" s="5" t="s">
        <v>1279</v>
      </c>
      <c r="C606" t="s">
        <v>953</v>
      </c>
    </row>
    <row r="607" spans="1:3" x14ac:dyDescent="0.25">
      <c r="A607" t="s">
        <v>890</v>
      </c>
      <c r="B607" s="2" t="s">
        <v>1719</v>
      </c>
      <c r="C607" t="s">
        <v>2992</v>
      </c>
    </row>
    <row r="608" spans="1:3" x14ac:dyDescent="0.25">
      <c r="A608" t="s">
        <v>890</v>
      </c>
      <c r="B608" s="5" t="s">
        <v>2013</v>
      </c>
      <c r="C608" t="s">
        <v>2991</v>
      </c>
    </row>
    <row r="609" spans="1:3" x14ac:dyDescent="0.25">
      <c r="A609" t="s">
        <v>890</v>
      </c>
      <c r="B609" s="5" t="s">
        <v>3272</v>
      </c>
      <c r="C609" t="s">
        <v>3288</v>
      </c>
    </row>
    <row r="610" spans="1:3" x14ac:dyDescent="0.25">
      <c r="A610" t="s">
        <v>890</v>
      </c>
      <c r="B610" s="5" t="s">
        <v>2248</v>
      </c>
      <c r="C610" t="s">
        <v>2991</v>
      </c>
    </row>
    <row r="611" spans="1:3" x14ac:dyDescent="0.25">
      <c r="A611" t="s">
        <v>890</v>
      </c>
      <c r="B611" s="5" t="s">
        <v>3136</v>
      </c>
      <c r="C611" t="s">
        <v>3288</v>
      </c>
    </row>
    <row r="612" spans="1:3" x14ac:dyDescent="0.25">
      <c r="A612" t="s">
        <v>890</v>
      </c>
      <c r="B612" s="2" t="s">
        <v>1690</v>
      </c>
      <c r="C612" t="s">
        <v>2992</v>
      </c>
    </row>
    <row r="613" spans="1:3" x14ac:dyDescent="0.25">
      <c r="A613" t="s">
        <v>890</v>
      </c>
      <c r="B613" s="5" t="s">
        <v>1095</v>
      </c>
      <c r="C613" t="s">
        <v>953</v>
      </c>
    </row>
    <row r="614" spans="1:3" x14ac:dyDescent="0.25">
      <c r="A614" t="s">
        <v>890</v>
      </c>
      <c r="B614" s="5" t="s">
        <v>2436</v>
      </c>
      <c r="C614" t="s">
        <v>2991</v>
      </c>
    </row>
    <row r="615" spans="1:3" x14ac:dyDescent="0.25">
      <c r="A615" t="s">
        <v>890</v>
      </c>
      <c r="B615" s="5" t="s">
        <v>2168</v>
      </c>
      <c r="C615" t="s">
        <v>2991</v>
      </c>
    </row>
    <row r="616" spans="1:3" x14ac:dyDescent="0.25">
      <c r="A616" t="s">
        <v>890</v>
      </c>
      <c r="B616" s="5" t="s">
        <v>3115</v>
      </c>
      <c r="C616" t="s">
        <v>3288</v>
      </c>
    </row>
    <row r="617" spans="1:3" x14ac:dyDescent="0.25">
      <c r="A617" t="s">
        <v>890</v>
      </c>
      <c r="B617" s="5" t="s">
        <v>2223</v>
      </c>
      <c r="C617" t="s">
        <v>2991</v>
      </c>
    </row>
    <row r="618" spans="1:3" x14ac:dyDescent="0.25">
      <c r="A618" t="s">
        <v>890</v>
      </c>
      <c r="B618" s="5" t="s">
        <v>3217</v>
      </c>
      <c r="C618" t="s">
        <v>3288</v>
      </c>
    </row>
    <row r="619" spans="1:3" x14ac:dyDescent="0.25">
      <c r="A619" t="s">
        <v>890</v>
      </c>
      <c r="B619" s="5" t="s">
        <v>1212</v>
      </c>
      <c r="C619" t="s">
        <v>953</v>
      </c>
    </row>
    <row r="620" spans="1:3" x14ac:dyDescent="0.25">
      <c r="A620" t="s">
        <v>890</v>
      </c>
      <c r="B620" s="5" t="s">
        <v>3078</v>
      </c>
      <c r="C620" t="s">
        <v>3288</v>
      </c>
    </row>
    <row r="621" spans="1:3" x14ac:dyDescent="0.25">
      <c r="A621" t="s">
        <v>890</v>
      </c>
      <c r="B621" s="2" t="s">
        <v>1635</v>
      </c>
      <c r="C621" t="s">
        <v>2992</v>
      </c>
    </row>
    <row r="622" spans="1:3" x14ac:dyDescent="0.25">
      <c r="A622" t="s">
        <v>890</v>
      </c>
      <c r="B622" s="5" t="s">
        <v>2066</v>
      </c>
      <c r="C622" t="s">
        <v>2991</v>
      </c>
    </row>
    <row r="623" spans="1:3" x14ac:dyDescent="0.25">
      <c r="A623" t="s">
        <v>890</v>
      </c>
      <c r="B623" s="2" t="s">
        <v>1766</v>
      </c>
      <c r="C623" t="s">
        <v>2992</v>
      </c>
    </row>
    <row r="624" spans="1:3" x14ac:dyDescent="0.25">
      <c r="A624" t="s">
        <v>890</v>
      </c>
      <c r="B624" s="5" t="s">
        <v>2029</v>
      </c>
      <c r="C624" t="s">
        <v>2991</v>
      </c>
    </row>
    <row r="625" spans="1:3" x14ac:dyDescent="0.25">
      <c r="A625" t="s">
        <v>890</v>
      </c>
      <c r="B625" s="5" t="s">
        <v>2112</v>
      </c>
      <c r="C625" t="s">
        <v>2991</v>
      </c>
    </row>
    <row r="626" spans="1:3" x14ac:dyDescent="0.25">
      <c r="A626" t="s">
        <v>890</v>
      </c>
      <c r="B626" s="5" t="s">
        <v>1350</v>
      </c>
      <c r="C626" t="s">
        <v>953</v>
      </c>
    </row>
    <row r="627" spans="1:3" x14ac:dyDescent="0.25">
      <c r="A627" t="s">
        <v>890</v>
      </c>
      <c r="B627" s="5" t="s">
        <v>3210</v>
      </c>
      <c r="C627" t="s">
        <v>3288</v>
      </c>
    </row>
    <row r="628" spans="1:3" x14ac:dyDescent="0.25">
      <c r="A628" t="s">
        <v>890</v>
      </c>
      <c r="B628" s="5" t="s">
        <v>1876</v>
      </c>
      <c r="C628" t="s">
        <v>2991</v>
      </c>
    </row>
    <row r="629" spans="1:3" x14ac:dyDescent="0.25">
      <c r="A629" t="s">
        <v>890</v>
      </c>
      <c r="B629" s="5" t="s">
        <v>3212</v>
      </c>
      <c r="C629" t="s">
        <v>3288</v>
      </c>
    </row>
    <row r="630" spans="1:3" x14ac:dyDescent="0.25">
      <c r="A630" t="s">
        <v>890</v>
      </c>
      <c r="B630" s="5" t="s">
        <v>3092</v>
      </c>
      <c r="C630" t="s">
        <v>3288</v>
      </c>
    </row>
    <row r="631" spans="1:3" x14ac:dyDescent="0.25">
      <c r="A631" t="s">
        <v>890</v>
      </c>
      <c r="B631" s="5" t="s">
        <v>3013</v>
      </c>
      <c r="C631" t="s">
        <v>3288</v>
      </c>
    </row>
    <row r="632" spans="1:3" x14ac:dyDescent="0.25">
      <c r="A632" t="s">
        <v>890</v>
      </c>
      <c r="B632" s="5" t="s">
        <v>1991</v>
      </c>
      <c r="C632" t="s">
        <v>2991</v>
      </c>
    </row>
    <row r="633" spans="1:3" x14ac:dyDescent="0.25">
      <c r="A633" t="s">
        <v>890</v>
      </c>
      <c r="B633" s="5" t="s">
        <v>3178</v>
      </c>
      <c r="C633" t="s">
        <v>3288</v>
      </c>
    </row>
    <row r="634" spans="1:3" x14ac:dyDescent="0.25">
      <c r="A634" t="s">
        <v>890</v>
      </c>
      <c r="B634" s="2" t="s">
        <v>1812</v>
      </c>
      <c r="C634" t="s">
        <v>2992</v>
      </c>
    </row>
    <row r="635" spans="1:3" x14ac:dyDescent="0.25">
      <c r="A635" t="s">
        <v>890</v>
      </c>
      <c r="B635" s="5" t="s">
        <v>1223</v>
      </c>
      <c r="C635" t="s">
        <v>953</v>
      </c>
    </row>
    <row r="636" spans="1:3" x14ac:dyDescent="0.25">
      <c r="A636" t="s">
        <v>890</v>
      </c>
      <c r="B636" s="2" t="s">
        <v>1798</v>
      </c>
      <c r="C636" t="s">
        <v>2992</v>
      </c>
    </row>
    <row r="637" spans="1:3" x14ac:dyDescent="0.25">
      <c r="A637" t="s">
        <v>890</v>
      </c>
      <c r="B637" s="5" t="s">
        <v>1433</v>
      </c>
      <c r="C637" t="s">
        <v>953</v>
      </c>
    </row>
    <row r="638" spans="1:3" x14ac:dyDescent="0.25">
      <c r="A638" t="s">
        <v>890</v>
      </c>
      <c r="B638" s="2" t="s">
        <v>1655</v>
      </c>
      <c r="C638" t="s">
        <v>2992</v>
      </c>
    </row>
    <row r="639" spans="1:3" x14ac:dyDescent="0.25">
      <c r="A639" t="s">
        <v>890</v>
      </c>
      <c r="B639" s="2" t="s">
        <v>1776</v>
      </c>
      <c r="C639" t="s">
        <v>2992</v>
      </c>
    </row>
    <row r="640" spans="1:3" x14ac:dyDescent="0.25">
      <c r="A640" t="s">
        <v>890</v>
      </c>
      <c r="B640" s="5" t="s">
        <v>2207</v>
      </c>
      <c r="C640" t="s">
        <v>2991</v>
      </c>
    </row>
    <row r="641" spans="1:3" x14ac:dyDescent="0.25">
      <c r="A641" t="s">
        <v>890</v>
      </c>
      <c r="B641" s="5" t="s">
        <v>969</v>
      </c>
      <c r="C641" t="s">
        <v>953</v>
      </c>
    </row>
    <row r="642" spans="1:3" x14ac:dyDescent="0.25">
      <c r="A642" t="s">
        <v>890</v>
      </c>
      <c r="B642" s="5" t="s">
        <v>3203</v>
      </c>
      <c r="C642" t="s">
        <v>3288</v>
      </c>
    </row>
    <row r="643" spans="1:3" x14ac:dyDescent="0.25">
      <c r="A643" t="s">
        <v>890</v>
      </c>
      <c r="B643" s="2" t="s">
        <v>1547</v>
      </c>
      <c r="C643" t="s">
        <v>2992</v>
      </c>
    </row>
    <row r="644" spans="1:3" x14ac:dyDescent="0.25">
      <c r="A644" t="s">
        <v>890</v>
      </c>
      <c r="B644" s="5" t="s">
        <v>2176</v>
      </c>
      <c r="C644" t="s">
        <v>2991</v>
      </c>
    </row>
    <row r="645" spans="1:3" x14ac:dyDescent="0.25">
      <c r="A645" t="s">
        <v>890</v>
      </c>
      <c r="B645" s="5" t="s">
        <v>1345</v>
      </c>
      <c r="C645" t="s">
        <v>953</v>
      </c>
    </row>
    <row r="646" spans="1:3" x14ac:dyDescent="0.25">
      <c r="A646" t="s">
        <v>890</v>
      </c>
      <c r="B646" s="2" t="s">
        <v>1569</v>
      </c>
      <c r="C646" t="s">
        <v>2992</v>
      </c>
    </row>
    <row r="647" spans="1:3" x14ac:dyDescent="0.25">
      <c r="A647" t="s">
        <v>890</v>
      </c>
      <c r="B647" s="5" t="s">
        <v>3023</v>
      </c>
      <c r="C647" t="s">
        <v>3288</v>
      </c>
    </row>
    <row r="648" spans="1:3" x14ac:dyDescent="0.25">
      <c r="A648" t="s">
        <v>890</v>
      </c>
      <c r="B648" s="5" t="s">
        <v>2444</v>
      </c>
      <c r="C648" t="s">
        <v>2991</v>
      </c>
    </row>
    <row r="649" spans="1:3" x14ac:dyDescent="0.25">
      <c r="A649" t="s">
        <v>890</v>
      </c>
      <c r="B649" s="5" t="s">
        <v>1221</v>
      </c>
      <c r="C649" t="s">
        <v>953</v>
      </c>
    </row>
    <row r="650" spans="1:3" x14ac:dyDescent="0.25">
      <c r="A650" t="s">
        <v>890</v>
      </c>
      <c r="B650" s="5" t="s">
        <v>1333</v>
      </c>
      <c r="C650" t="s">
        <v>953</v>
      </c>
    </row>
    <row r="651" spans="1:3" x14ac:dyDescent="0.25">
      <c r="A651" t="s">
        <v>890</v>
      </c>
      <c r="B651" s="5" t="s">
        <v>3050</v>
      </c>
      <c r="C651" t="s">
        <v>3288</v>
      </c>
    </row>
    <row r="652" spans="1:3" x14ac:dyDescent="0.25">
      <c r="A652" t="s">
        <v>890</v>
      </c>
      <c r="B652" s="5" t="s">
        <v>1161</v>
      </c>
      <c r="C652" t="s">
        <v>953</v>
      </c>
    </row>
    <row r="653" spans="1:3" x14ac:dyDescent="0.25">
      <c r="A653" t="s">
        <v>890</v>
      </c>
      <c r="B653" s="2" t="s">
        <v>1639</v>
      </c>
      <c r="C653" t="s">
        <v>2992</v>
      </c>
    </row>
    <row r="654" spans="1:3" x14ac:dyDescent="0.25">
      <c r="A654" t="s">
        <v>890</v>
      </c>
      <c r="B654" s="2" t="s">
        <v>1548</v>
      </c>
      <c r="C654" t="s">
        <v>2992</v>
      </c>
    </row>
    <row r="655" spans="1:3" x14ac:dyDescent="0.25">
      <c r="A655" t="s">
        <v>890</v>
      </c>
      <c r="B655" s="5" t="s">
        <v>1965</v>
      </c>
      <c r="C655" t="s">
        <v>2991</v>
      </c>
    </row>
    <row r="656" spans="1:3" x14ac:dyDescent="0.25">
      <c r="A656" t="s">
        <v>890</v>
      </c>
      <c r="B656" s="5" t="s">
        <v>1286</v>
      </c>
      <c r="C656" t="s">
        <v>953</v>
      </c>
    </row>
    <row r="657" spans="1:3" x14ac:dyDescent="0.25">
      <c r="A657" t="s">
        <v>890</v>
      </c>
      <c r="B657" s="2" t="s">
        <v>1597</v>
      </c>
      <c r="C657" t="s">
        <v>2992</v>
      </c>
    </row>
    <row r="658" spans="1:3" x14ac:dyDescent="0.25">
      <c r="A658" t="s">
        <v>890</v>
      </c>
      <c r="B658" s="2" t="s">
        <v>1620</v>
      </c>
      <c r="C658" t="s">
        <v>2992</v>
      </c>
    </row>
    <row r="659" spans="1:3" x14ac:dyDescent="0.25">
      <c r="A659" t="s">
        <v>890</v>
      </c>
      <c r="B659" s="2" t="s">
        <v>1682</v>
      </c>
      <c r="C659" t="s">
        <v>2992</v>
      </c>
    </row>
    <row r="660" spans="1:3" x14ac:dyDescent="0.25">
      <c r="A660" t="s">
        <v>890</v>
      </c>
      <c r="B660" s="5" t="s">
        <v>3149</v>
      </c>
      <c r="C660" t="s">
        <v>3288</v>
      </c>
    </row>
    <row r="661" spans="1:3" x14ac:dyDescent="0.25">
      <c r="A661" t="s">
        <v>890</v>
      </c>
      <c r="B661" s="5" t="s">
        <v>1522</v>
      </c>
      <c r="C661" t="s">
        <v>953</v>
      </c>
    </row>
    <row r="662" spans="1:3" x14ac:dyDescent="0.25">
      <c r="A662" t="s">
        <v>890</v>
      </c>
      <c r="B662" s="2" t="s">
        <v>1693</v>
      </c>
      <c r="C662" t="s">
        <v>2992</v>
      </c>
    </row>
    <row r="663" spans="1:3" x14ac:dyDescent="0.25">
      <c r="A663" t="s">
        <v>890</v>
      </c>
      <c r="B663" s="2" t="s">
        <v>1578</v>
      </c>
      <c r="C663" t="s">
        <v>2992</v>
      </c>
    </row>
    <row r="664" spans="1:3" x14ac:dyDescent="0.25">
      <c r="A664" t="s">
        <v>890</v>
      </c>
      <c r="B664" s="5" t="s">
        <v>1384</v>
      </c>
      <c r="C664" t="s">
        <v>953</v>
      </c>
    </row>
    <row r="665" spans="1:3" x14ac:dyDescent="0.25">
      <c r="A665" t="s">
        <v>890</v>
      </c>
      <c r="B665" s="2" t="s">
        <v>1558</v>
      </c>
      <c r="C665" t="s">
        <v>2992</v>
      </c>
    </row>
    <row r="666" spans="1:3" x14ac:dyDescent="0.25">
      <c r="A666" t="s">
        <v>890</v>
      </c>
      <c r="B666" s="5" t="s">
        <v>1232</v>
      </c>
      <c r="C666" t="s">
        <v>953</v>
      </c>
    </row>
    <row r="667" spans="1:3" x14ac:dyDescent="0.25">
      <c r="A667" t="s">
        <v>890</v>
      </c>
      <c r="B667" s="5" t="s">
        <v>1407</v>
      </c>
      <c r="C667" t="s">
        <v>953</v>
      </c>
    </row>
    <row r="668" spans="1:3" x14ac:dyDescent="0.25">
      <c r="A668" t="s">
        <v>890</v>
      </c>
      <c r="B668" s="5" t="s">
        <v>2056</v>
      </c>
      <c r="C668" t="s">
        <v>2991</v>
      </c>
    </row>
    <row r="669" spans="1:3" x14ac:dyDescent="0.25">
      <c r="A669" t="s">
        <v>890</v>
      </c>
      <c r="B669" s="5" t="s">
        <v>1955</v>
      </c>
      <c r="C669" t="s">
        <v>2991</v>
      </c>
    </row>
    <row r="670" spans="1:3" x14ac:dyDescent="0.25">
      <c r="A670" t="s">
        <v>890</v>
      </c>
      <c r="B670" s="5" t="s">
        <v>3084</v>
      </c>
      <c r="C670" t="s">
        <v>3288</v>
      </c>
    </row>
    <row r="671" spans="1:3" x14ac:dyDescent="0.25">
      <c r="A671" t="s">
        <v>890</v>
      </c>
      <c r="B671" s="5" t="s">
        <v>1446</v>
      </c>
      <c r="C671" t="s">
        <v>953</v>
      </c>
    </row>
    <row r="672" spans="1:3" x14ac:dyDescent="0.25">
      <c r="A672" t="s">
        <v>890</v>
      </c>
      <c r="B672" s="5" t="s">
        <v>3131</v>
      </c>
      <c r="C672" t="s">
        <v>3288</v>
      </c>
    </row>
    <row r="673" spans="1:3" x14ac:dyDescent="0.25">
      <c r="A673" t="s">
        <v>890</v>
      </c>
      <c r="B673" s="5" t="s">
        <v>3264</v>
      </c>
      <c r="C673" t="s">
        <v>3288</v>
      </c>
    </row>
    <row r="674" spans="1:3" x14ac:dyDescent="0.25">
      <c r="A674" t="s">
        <v>890</v>
      </c>
      <c r="B674" s="5" t="s">
        <v>1358</v>
      </c>
      <c r="C674" t="s">
        <v>953</v>
      </c>
    </row>
    <row r="675" spans="1:3" x14ac:dyDescent="0.25">
      <c r="A675" t="s">
        <v>890</v>
      </c>
      <c r="B675" s="2" t="s">
        <v>1714</v>
      </c>
      <c r="C675" t="s">
        <v>2992</v>
      </c>
    </row>
    <row r="676" spans="1:3" x14ac:dyDescent="0.25">
      <c r="A676" t="s">
        <v>890</v>
      </c>
      <c r="B676" s="5" t="s">
        <v>1280</v>
      </c>
      <c r="C676" t="s">
        <v>953</v>
      </c>
    </row>
    <row r="677" spans="1:3" x14ac:dyDescent="0.25">
      <c r="A677" t="s">
        <v>890</v>
      </c>
      <c r="B677" s="2" t="s">
        <v>1806</v>
      </c>
      <c r="C677" t="s">
        <v>2992</v>
      </c>
    </row>
    <row r="678" spans="1:3" x14ac:dyDescent="0.25">
      <c r="A678" t="s">
        <v>890</v>
      </c>
      <c r="B678" s="5" t="s">
        <v>1514</v>
      </c>
      <c r="C678" t="s">
        <v>3288</v>
      </c>
    </row>
    <row r="679" spans="1:3" x14ac:dyDescent="0.25">
      <c r="A679" t="s">
        <v>890</v>
      </c>
      <c r="B679" s="5" t="s">
        <v>2195</v>
      </c>
      <c r="C679" t="s">
        <v>2991</v>
      </c>
    </row>
    <row r="680" spans="1:3" x14ac:dyDescent="0.25">
      <c r="A680" t="s">
        <v>890</v>
      </c>
      <c r="B680" s="5" t="s">
        <v>1475</v>
      </c>
      <c r="C680" t="s">
        <v>953</v>
      </c>
    </row>
    <row r="681" spans="1:3" x14ac:dyDescent="0.25">
      <c r="A681" t="s">
        <v>890</v>
      </c>
      <c r="B681" s="5" t="s">
        <v>3208</v>
      </c>
      <c r="C681" t="s">
        <v>3288</v>
      </c>
    </row>
    <row r="682" spans="1:3" x14ac:dyDescent="0.25">
      <c r="A682" t="s">
        <v>890</v>
      </c>
      <c r="B682" s="5" t="s">
        <v>2322</v>
      </c>
      <c r="C682" t="s">
        <v>2991</v>
      </c>
    </row>
    <row r="683" spans="1:3" x14ac:dyDescent="0.25">
      <c r="A683" t="s">
        <v>890</v>
      </c>
      <c r="B683" s="5" t="s">
        <v>1349</v>
      </c>
      <c r="C683" t="s">
        <v>953</v>
      </c>
    </row>
    <row r="684" spans="1:3" x14ac:dyDescent="0.25">
      <c r="A684" t="s">
        <v>890</v>
      </c>
      <c r="B684" s="5" t="s">
        <v>2306</v>
      </c>
      <c r="C684" t="s">
        <v>2991</v>
      </c>
    </row>
    <row r="685" spans="1:3" x14ac:dyDescent="0.25">
      <c r="A685" t="s">
        <v>890</v>
      </c>
      <c r="B685" s="5" t="s">
        <v>1346</v>
      </c>
      <c r="C685" t="s">
        <v>953</v>
      </c>
    </row>
    <row r="686" spans="1:3" x14ac:dyDescent="0.25">
      <c r="A686" t="s">
        <v>890</v>
      </c>
      <c r="B686" s="5" t="s">
        <v>3142</v>
      </c>
      <c r="C686" t="s">
        <v>3288</v>
      </c>
    </row>
    <row r="687" spans="1:3" x14ac:dyDescent="0.25">
      <c r="A687" t="s">
        <v>890</v>
      </c>
      <c r="B687" s="5" t="s">
        <v>2119</v>
      </c>
      <c r="C687" t="s">
        <v>2991</v>
      </c>
    </row>
    <row r="688" spans="1:3" x14ac:dyDescent="0.25">
      <c r="A688" t="s">
        <v>890</v>
      </c>
      <c r="B688" s="5" t="s">
        <v>1432</v>
      </c>
      <c r="C688" t="s">
        <v>953</v>
      </c>
    </row>
    <row r="689" spans="1:3" x14ac:dyDescent="0.25">
      <c r="A689" t="s">
        <v>890</v>
      </c>
      <c r="B689" s="2" t="s">
        <v>1611</v>
      </c>
      <c r="C689" t="s">
        <v>2992</v>
      </c>
    </row>
    <row r="690" spans="1:3" x14ac:dyDescent="0.25">
      <c r="A690" t="s">
        <v>890</v>
      </c>
      <c r="B690" s="5" t="s">
        <v>1246</v>
      </c>
      <c r="C690" t="s">
        <v>953</v>
      </c>
    </row>
    <row r="691" spans="1:3" x14ac:dyDescent="0.25">
      <c r="A691" t="s">
        <v>890</v>
      </c>
      <c r="B691" s="5" t="s">
        <v>3227</v>
      </c>
      <c r="C691" t="s">
        <v>3288</v>
      </c>
    </row>
    <row r="692" spans="1:3" x14ac:dyDescent="0.25">
      <c r="A692" t="s">
        <v>890</v>
      </c>
      <c r="B692" s="5" t="s">
        <v>1419</v>
      </c>
      <c r="C692" t="s">
        <v>953</v>
      </c>
    </row>
    <row r="693" spans="1:3" x14ac:dyDescent="0.25">
      <c r="A693" t="s">
        <v>890</v>
      </c>
      <c r="B693" s="5" t="s">
        <v>2143</v>
      </c>
      <c r="C693" t="s">
        <v>2991</v>
      </c>
    </row>
    <row r="694" spans="1:3" x14ac:dyDescent="0.25">
      <c r="A694" t="s">
        <v>890</v>
      </c>
      <c r="B694" s="5" t="s">
        <v>1207</v>
      </c>
      <c r="C694" t="s">
        <v>953</v>
      </c>
    </row>
    <row r="695" spans="1:3" x14ac:dyDescent="0.25">
      <c r="A695" t="s">
        <v>890</v>
      </c>
      <c r="B695" s="5" t="s">
        <v>2419</v>
      </c>
      <c r="C695" t="s">
        <v>2991</v>
      </c>
    </row>
    <row r="696" spans="1:3" x14ac:dyDescent="0.25">
      <c r="A696" t="s">
        <v>890</v>
      </c>
      <c r="B696" s="5" t="s">
        <v>1421</v>
      </c>
      <c r="C696" t="s">
        <v>953</v>
      </c>
    </row>
    <row r="697" spans="1:3" x14ac:dyDescent="0.25">
      <c r="A697" t="s">
        <v>890</v>
      </c>
      <c r="B697" s="2" t="s">
        <v>1549</v>
      </c>
      <c r="C697" t="s">
        <v>2992</v>
      </c>
    </row>
    <row r="698" spans="1:3" x14ac:dyDescent="0.25">
      <c r="A698" t="s">
        <v>890</v>
      </c>
      <c r="B698" s="5" t="s">
        <v>977</v>
      </c>
      <c r="C698" t="s">
        <v>953</v>
      </c>
    </row>
    <row r="699" spans="1:3" x14ac:dyDescent="0.25">
      <c r="A699" t="s">
        <v>890</v>
      </c>
      <c r="B699" s="5" t="s">
        <v>1999</v>
      </c>
      <c r="C699" t="s">
        <v>2991</v>
      </c>
    </row>
    <row r="700" spans="1:3" x14ac:dyDescent="0.25">
      <c r="A700" t="s">
        <v>890</v>
      </c>
      <c r="B700" s="5" t="s">
        <v>1305</v>
      </c>
      <c r="C700" t="s">
        <v>953</v>
      </c>
    </row>
    <row r="701" spans="1:3" x14ac:dyDescent="0.25">
      <c r="A701" t="s">
        <v>890</v>
      </c>
      <c r="B701" s="5" t="s">
        <v>3100</v>
      </c>
      <c r="C701" t="s">
        <v>3288</v>
      </c>
    </row>
    <row r="702" spans="1:3" x14ac:dyDescent="0.25">
      <c r="A702" t="s">
        <v>890</v>
      </c>
      <c r="B702" s="5" t="s">
        <v>2017</v>
      </c>
      <c r="C702" t="s">
        <v>2991</v>
      </c>
    </row>
    <row r="703" spans="1:3" x14ac:dyDescent="0.25">
      <c r="A703" t="s">
        <v>890</v>
      </c>
      <c r="B703" s="5" t="s">
        <v>1356</v>
      </c>
      <c r="C703" t="s">
        <v>953</v>
      </c>
    </row>
    <row r="704" spans="1:3" x14ac:dyDescent="0.25">
      <c r="A704" t="s">
        <v>890</v>
      </c>
      <c r="B704" s="5" t="s">
        <v>2440</v>
      </c>
      <c r="C704" t="s">
        <v>2991</v>
      </c>
    </row>
    <row r="705" spans="1:3" x14ac:dyDescent="0.25">
      <c r="A705" t="s">
        <v>890</v>
      </c>
      <c r="B705" s="5" t="s">
        <v>1259</v>
      </c>
      <c r="C705" t="s">
        <v>953</v>
      </c>
    </row>
    <row r="706" spans="1:3" x14ac:dyDescent="0.25">
      <c r="A706" t="s">
        <v>890</v>
      </c>
      <c r="B706" s="5" t="s">
        <v>3018</v>
      </c>
      <c r="C706" t="s">
        <v>3288</v>
      </c>
    </row>
    <row r="707" spans="1:3" x14ac:dyDescent="0.25">
      <c r="A707" t="s">
        <v>890</v>
      </c>
      <c r="B707" s="5" t="s">
        <v>2298</v>
      </c>
      <c r="C707" t="s">
        <v>2991</v>
      </c>
    </row>
    <row r="708" spans="1:3" x14ac:dyDescent="0.25">
      <c r="A708" t="s">
        <v>890</v>
      </c>
      <c r="B708" s="5" t="s">
        <v>1395</v>
      </c>
      <c r="C708" t="s">
        <v>953</v>
      </c>
    </row>
    <row r="709" spans="1:3" x14ac:dyDescent="0.25">
      <c r="A709" t="s">
        <v>890</v>
      </c>
      <c r="B709" s="5" t="s">
        <v>2343</v>
      </c>
      <c r="C709" t="s">
        <v>2991</v>
      </c>
    </row>
    <row r="710" spans="1:3" x14ac:dyDescent="0.25">
      <c r="A710" t="s">
        <v>890</v>
      </c>
      <c r="B710" s="2" t="s">
        <v>1764</v>
      </c>
      <c r="C710" t="s">
        <v>2992</v>
      </c>
    </row>
    <row r="711" spans="1:3" x14ac:dyDescent="0.25">
      <c r="A711" t="s">
        <v>890</v>
      </c>
      <c r="B711" s="5" t="s">
        <v>3068</v>
      </c>
      <c r="C711" t="s">
        <v>3288</v>
      </c>
    </row>
    <row r="712" spans="1:3" x14ac:dyDescent="0.25">
      <c r="A712" t="s">
        <v>890</v>
      </c>
      <c r="B712" s="5" t="s">
        <v>1072</v>
      </c>
      <c r="C712" t="s">
        <v>953</v>
      </c>
    </row>
    <row r="713" spans="1:3" x14ac:dyDescent="0.25">
      <c r="A713" t="s">
        <v>890</v>
      </c>
      <c r="B713" s="2" t="s">
        <v>1695</v>
      </c>
      <c r="C713" t="s">
        <v>2992</v>
      </c>
    </row>
    <row r="714" spans="1:3" x14ac:dyDescent="0.25">
      <c r="A714" t="s">
        <v>890</v>
      </c>
      <c r="B714" s="5" t="s">
        <v>2445</v>
      </c>
      <c r="C714" t="s">
        <v>2991</v>
      </c>
    </row>
    <row r="715" spans="1:3" x14ac:dyDescent="0.25">
      <c r="A715" t="s">
        <v>890</v>
      </c>
      <c r="B715" s="2" t="s">
        <v>1811</v>
      </c>
      <c r="C715" t="s">
        <v>2992</v>
      </c>
    </row>
    <row r="716" spans="1:3" x14ac:dyDescent="0.25">
      <c r="A716" t="s">
        <v>890</v>
      </c>
      <c r="B716" s="2" t="s">
        <v>1626</v>
      </c>
      <c r="C716" t="s">
        <v>2992</v>
      </c>
    </row>
    <row r="717" spans="1:3" x14ac:dyDescent="0.25">
      <c r="A717" t="s">
        <v>890</v>
      </c>
      <c r="B717" s="5" t="s">
        <v>3053</v>
      </c>
      <c r="C717" t="s">
        <v>3288</v>
      </c>
    </row>
    <row r="718" spans="1:3" x14ac:dyDescent="0.25">
      <c r="A718" t="s">
        <v>890</v>
      </c>
      <c r="B718" s="2" t="s">
        <v>1591</v>
      </c>
      <c r="C718" t="s">
        <v>2992</v>
      </c>
    </row>
    <row r="719" spans="1:3" x14ac:dyDescent="0.25">
      <c r="A719" t="s">
        <v>890</v>
      </c>
      <c r="B719" s="5" t="s">
        <v>1357</v>
      </c>
      <c r="C719" t="s">
        <v>953</v>
      </c>
    </row>
    <row r="720" spans="1:3" x14ac:dyDescent="0.25">
      <c r="A720" t="s">
        <v>890</v>
      </c>
      <c r="B720" s="2" t="s">
        <v>1673</v>
      </c>
      <c r="C720" t="s">
        <v>2992</v>
      </c>
    </row>
    <row r="721" spans="1:3" x14ac:dyDescent="0.25">
      <c r="A721" t="s">
        <v>890</v>
      </c>
      <c r="B721" s="5" t="s">
        <v>1451</v>
      </c>
      <c r="C721" t="s">
        <v>953</v>
      </c>
    </row>
    <row r="722" spans="1:3" x14ac:dyDescent="0.25">
      <c r="A722" t="s">
        <v>890</v>
      </c>
      <c r="B722" s="2" t="s">
        <v>1688</v>
      </c>
      <c r="C722" t="s">
        <v>2992</v>
      </c>
    </row>
    <row r="723" spans="1:3" x14ac:dyDescent="0.25">
      <c r="A723" t="s">
        <v>890</v>
      </c>
      <c r="B723" s="5" t="s">
        <v>2371</v>
      </c>
      <c r="C723" t="s">
        <v>2991</v>
      </c>
    </row>
    <row r="724" spans="1:3" x14ac:dyDescent="0.25">
      <c r="A724" t="s">
        <v>890</v>
      </c>
      <c r="B724" s="5" t="s">
        <v>956</v>
      </c>
      <c r="C724" t="s">
        <v>953</v>
      </c>
    </row>
    <row r="725" spans="1:3" x14ac:dyDescent="0.25">
      <c r="A725" t="s">
        <v>890</v>
      </c>
      <c r="B725" s="5" t="s">
        <v>2184</v>
      </c>
      <c r="C725" t="s">
        <v>2991</v>
      </c>
    </row>
    <row r="726" spans="1:3" x14ac:dyDescent="0.25">
      <c r="A726" t="s">
        <v>890</v>
      </c>
      <c r="B726" s="5" t="s">
        <v>3067</v>
      </c>
      <c r="C726" t="s">
        <v>3288</v>
      </c>
    </row>
    <row r="727" spans="1:3" x14ac:dyDescent="0.25">
      <c r="A727" t="s">
        <v>890</v>
      </c>
      <c r="B727" s="5" t="s">
        <v>1319</v>
      </c>
      <c r="C727" t="s">
        <v>953</v>
      </c>
    </row>
    <row r="728" spans="1:3" x14ac:dyDescent="0.25">
      <c r="A728" t="s">
        <v>890</v>
      </c>
      <c r="B728" s="5" t="s">
        <v>3168</v>
      </c>
      <c r="C728" t="s">
        <v>3288</v>
      </c>
    </row>
    <row r="729" spans="1:3" x14ac:dyDescent="0.25">
      <c r="A729" t="s">
        <v>890</v>
      </c>
      <c r="B729" s="2" t="s">
        <v>1701</v>
      </c>
      <c r="C729" t="s">
        <v>2992</v>
      </c>
    </row>
    <row r="730" spans="1:3" x14ac:dyDescent="0.25">
      <c r="A730" t="s">
        <v>890</v>
      </c>
      <c r="B730" s="5" t="s">
        <v>1022</v>
      </c>
      <c r="C730" t="s">
        <v>953</v>
      </c>
    </row>
    <row r="731" spans="1:3" x14ac:dyDescent="0.25">
      <c r="A731" t="s">
        <v>890</v>
      </c>
      <c r="B731" s="2" t="s">
        <v>1675</v>
      </c>
      <c r="C731" t="s">
        <v>2992</v>
      </c>
    </row>
    <row r="732" spans="1:3" x14ac:dyDescent="0.25">
      <c r="A732" t="s">
        <v>890</v>
      </c>
      <c r="B732" s="2" t="s">
        <v>1592</v>
      </c>
      <c r="C732" t="s">
        <v>2992</v>
      </c>
    </row>
    <row r="733" spans="1:3" x14ac:dyDescent="0.25">
      <c r="A733" t="s">
        <v>890</v>
      </c>
      <c r="B733" s="5" t="s">
        <v>1238</v>
      </c>
      <c r="C733" t="s">
        <v>953</v>
      </c>
    </row>
    <row r="734" spans="1:3" x14ac:dyDescent="0.25">
      <c r="A734" t="s">
        <v>890</v>
      </c>
      <c r="B734" s="5" t="s">
        <v>2089</v>
      </c>
      <c r="C734" t="s">
        <v>2991</v>
      </c>
    </row>
    <row r="735" spans="1:3" x14ac:dyDescent="0.25">
      <c r="A735" t="s">
        <v>890</v>
      </c>
      <c r="B735" s="2" t="s">
        <v>1729</v>
      </c>
      <c r="C735" t="s">
        <v>2992</v>
      </c>
    </row>
    <row r="736" spans="1:3" x14ac:dyDescent="0.25">
      <c r="A736" t="s">
        <v>890</v>
      </c>
      <c r="B736" s="5" t="s">
        <v>2129</v>
      </c>
      <c r="C736" t="s">
        <v>2991</v>
      </c>
    </row>
    <row r="737" spans="1:3" x14ac:dyDescent="0.25">
      <c r="A737" t="s">
        <v>890</v>
      </c>
      <c r="B737" s="5" t="s">
        <v>3016</v>
      </c>
      <c r="C737" t="s">
        <v>3288</v>
      </c>
    </row>
    <row r="738" spans="1:3" x14ac:dyDescent="0.25">
      <c r="A738" t="s">
        <v>890</v>
      </c>
      <c r="B738" s="5" t="s">
        <v>2196</v>
      </c>
      <c r="C738" t="s">
        <v>2991</v>
      </c>
    </row>
    <row r="739" spans="1:3" x14ac:dyDescent="0.25">
      <c r="A739" t="s">
        <v>890</v>
      </c>
      <c r="B739" s="5" t="s">
        <v>2369</v>
      </c>
      <c r="C739" t="s">
        <v>2991</v>
      </c>
    </row>
    <row r="740" spans="1:3" x14ac:dyDescent="0.25">
      <c r="A740" t="s">
        <v>890</v>
      </c>
      <c r="B740" s="2" t="s">
        <v>1772</v>
      </c>
      <c r="C740" t="s">
        <v>2992</v>
      </c>
    </row>
    <row r="741" spans="1:3" x14ac:dyDescent="0.25">
      <c r="A741" t="s">
        <v>890</v>
      </c>
      <c r="B741" s="5" t="s">
        <v>1845</v>
      </c>
      <c r="C741" t="s">
        <v>2991</v>
      </c>
    </row>
    <row r="742" spans="1:3" x14ac:dyDescent="0.25">
      <c r="A742" t="s">
        <v>890</v>
      </c>
      <c r="B742" s="2" t="s">
        <v>1797</v>
      </c>
      <c r="C742" t="s">
        <v>2992</v>
      </c>
    </row>
    <row r="743" spans="1:3" x14ac:dyDescent="0.25">
      <c r="A743" t="s">
        <v>890</v>
      </c>
      <c r="B743" s="5" t="s">
        <v>3122</v>
      </c>
      <c r="C743" t="s">
        <v>3288</v>
      </c>
    </row>
    <row r="744" spans="1:3" x14ac:dyDescent="0.25">
      <c r="A744" t="s">
        <v>890</v>
      </c>
      <c r="B744" s="2" t="s">
        <v>1596</v>
      </c>
      <c r="C744" t="s">
        <v>2992</v>
      </c>
    </row>
    <row r="745" spans="1:3" x14ac:dyDescent="0.25">
      <c r="A745" t="s">
        <v>890</v>
      </c>
      <c r="B745" s="2" t="s">
        <v>1758</v>
      </c>
      <c r="C745" t="s">
        <v>2992</v>
      </c>
    </row>
    <row r="746" spans="1:3" x14ac:dyDescent="0.25">
      <c r="A746" t="s">
        <v>890</v>
      </c>
      <c r="B746" s="2" t="s">
        <v>1663</v>
      </c>
      <c r="C746" t="s">
        <v>2992</v>
      </c>
    </row>
    <row r="747" spans="1:3" x14ac:dyDescent="0.25">
      <c r="A747" t="s">
        <v>890</v>
      </c>
      <c r="B747" s="5" t="s">
        <v>1369</v>
      </c>
      <c r="C747" t="s">
        <v>953</v>
      </c>
    </row>
    <row r="748" spans="1:3" x14ac:dyDescent="0.25">
      <c r="A748" t="s">
        <v>890</v>
      </c>
      <c r="B748" s="5" t="s">
        <v>2998</v>
      </c>
      <c r="C748" t="s">
        <v>3288</v>
      </c>
    </row>
    <row r="749" spans="1:3" x14ac:dyDescent="0.25">
      <c r="A749" t="s">
        <v>890</v>
      </c>
      <c r="B749" s="5" t="s">
        <v>3130</v>
      </c>
      <c r="C749" t="s">
        <v>3288</v>
      </c>
    </row>
    <row r="750" spans="1:3" x14ac:dyDescent="0.25">
      <c r="A750" t="s">
        <v>890</v>
      </c>
      <c r="B750" s="5" t="s">
        <v>2205</v>
      </c>
      <c r="C750" t="s">
        <v>2991</v>
      </c>
    </row>
    <row r="751" spans="1:3" x14ac:dyDescent="0.25">
      <c r="A751" t="s">
        <v>890</v>
      </c>
      <c r="B751" s="2" t="s">
        <v>1537</v>
      </c>
      <c r="C751" t="s">
        <v>2992</v>
      </c>
    </row>
    <row r="752" spans="1:3" x14ac:dyDescent="0.25">
      <c r="A752" t="s">
        <v>890</v>
      </c>
      <c r="B752" s="5" t="s">
        <v>3070</v>
      </c>
      <c r="C752" t="s">
        <v>3288</v>
      </c>
    </row>
    <row r="753" spans="1:3" x14ac:dyDescent="0.25">
      <c r="A753" t="s">
        <v>890</v>
      </c>
      <c r="B753" s="5" t="s">
        <v>3180</v>
      </c>
      <c r="C753" t="s">
        <v>3288</v>
      </c>
    </row>
    <row r="754" spans="1:3" x14ac:dyDescent="0.25">
      <c r="A754" t="s">
        <v>890</v>
      </c>
      <c r="B754" s="5" t="s">
        <v>2177</v>
      </c>
      <c r="C754" t="s">
        <v>2991</v>
      </c>
    </row>
    <row r="755" spans="1:3" x14ac:dyDescent="0.25">
      <c r="A755" t="s">
        <v>890</v>
      </c>
      <c r="B755" s="2" t="s">
        <v>1588</v>
      </c>
      <c r="C755" t="s">
        <v>2992</v>
      </c>
    </row>
    <row r="756" spans="1:3" x14ac:dyDescent="0.25">
      <c r="A756" t="s">
        <v>890</v>
      </c>
      <c r="B756" s="2" t="s">
        <v>1651</v>
      </c>
      <c r="C756" t="s">
        <v>2992</v>
      </c>
    </row>
    <row r="757" spans="1:3" x14ac:dyDescent="0.25">
      <c r="A757" t="s">
        <v>890</v>
      </c>
      <c r="B757" s="5" t="s">
        <v>1380</v>
      </c>
      <c r="C757" t="s">
        <v>953</v>
      </c>
    </row>
    <row r="758" spans="1:3" x14ac:dyDescent="0.25">
      <c r="A758" t="s">
        <v>890</v>
      </c>
      <c r="B758" s="5" t="s">
        <v>2435</v>
      </c>
      <c r="C758" t="s">
        <v>2991</v>
      </c>
    </row>
    <row r="759" spans="1:3" x14ac:dyDescent="0.25">
      <c r="A759" t="s">
        <v>890</v>
      </c>
      <c r="B759" s="2" t="s">
        <v>1613</v>
      </c>
      <c r="C759" t="s">
        <v>2992</v>
      </c>
    </row>
    <row r="760" spans="1:3" x14ac:dyDescent="0.25">
      <c r="A760" t="s">
        <v>890</v>
      </c>
      <c r="B760" s="5" t="s">
        <v>1334</v>
      </c>
      <c r="C760" t="s">
        <v>953</v>
      </c>
    </row>
    <row r="761" spans="1:3" x14ac:dyDescent="0.25">
      <c r="A761" t="s">
        <v>890</v>
      </c>
      <c r="B761" s="5" t="s">
        <v>2262</v>
      </c>
      <c r="C761" t="s">
        <v>2991</v>
      </c>
    </row>
    <row r="762" spans="1:3" x14ac:dyDescent="0.25">
      <c r="A762" t="s">
        <v>890</v>
      </c>
      <c r="B762" s="5" t="s">
        <v>2075</v>
      </c>
      <c r="C762" t="s">
        <v>2991</v>
      </c>
    </row>
    <row r="763" spans="1:3" x14ac:dyDescent="0.25">
      <c r="A763" t="s">
        <v>890</v>
      </c>
      <c r="B763" s="5" t="s">
        <v>1149</v>
      </c>
      <c r="C763" t="s">
        <v>953</v>
      </c>
    </row>
    <row r="764" spans="1:3" x14ac:dyDescent="0.25">
      <c r="A764" t="s">
        <v>890</v>
      </c>
      <c r="B764" s="5" t="s">
        <v>992</v>
      </c>
      <c r="C764" t="s">
        <v>953</v>
      </c>
    </row>
    <row r="765" spans="1:3" x14ac:dyDescent="0.25">
      <c r="A765" t="s">
        <v>890</v>
      </c>
      <c r="B765" s="5" t="s">
        <v>3117</v>
      </c>
      <c r="C765" t="s">
        <v>3288</v>
      </c>
    </row>
    <row r="766" spans="1:3" x14ac:dyDescent="0.25">
      <c r="A766" t="s">
        <v>890</v>
      </c>
      <c r="B766" s="5" t="s">
        <v>3058</v>
      </c>
      <c r="C766" t="s">
        <v>3288</v>
      </c>
    </row>
    <row r="767" spans="1:3" x14ac:dyDescent="0.25">
      <c r="A767" t="s">
        <v>890</v>
      </c>
      <c r="B767" s="5" t="s">
        <v>1211</v>
      </c>
      <c r="C767" t="s">
        <v>953</v>
      </c>
    </row>
    <row r="768" spans="1:3" x14ac:dyDescent="0.25">
      <c r="A768" t="s">
        <v>890</v>
      </c>
      <c r="B768" s="2" t="s">
        <v>1661</v>
      </c>
      <c r="C768" t="s">
        <v>2992</v>
      </c>
    </row>
    <row r="769" spans="1:3" x14ac:dyDescent="0.25">
      <c r="A769" t="s">
        <v>890</v>
      </c>
      <c r="B769" s="2" t="s">
        <v>1751</v>
      </c>
      <c r="C769" t="s">
        <v>2992</v>
      </c>
    </row>
    <row r="770" spans="1:3" x14ac:dyDescent="0.25">
      <c r="A770" t="s">
        <v>890</v>
      </c>
      <c r="B770" s="5" t="s">
        <v>2134</v>
      </c>
      <c r="C770" t="s">
        <v>2991</v>
      </c>
    </row>
    <row r="771" spans="1:3" x14ac:dyDescent="0.25">
      <c r="A771" t="s">
        <v>890</v>
      </c>
      <c r="B771" s="5" t="s">
        <v>1026</v>
      </c>
      <c r="C771" t="s">
        <v>953</v>
      </c>
    </row>
    <row r="772" spans="1:3" x14ac:dyDescent="0.25">
      <c r="A772" t="s">
        <v>890</v>
      </c>
      <c r="B772" s="5" t="s">
        <v>1501</v>
      </c>
      <c r="C772" t="s">
        <v>953</v>
      </c>
    </row>
    <row r="773" spans="1:3" x14ac:dyDescent="0.25">
      <c r="A773" t="s">
        <v>890</v>
      </c>
      <c r="B773" s="5" t="s">
        <v>1294</v>
      </c>
      <c r="C773" t="s">
        <v>953</v>
      </c>
    </row>
    <row r="774" spans="1:3" x14ac:dyDescent="0.25">
      <c r="A774" t="s">
        <v>890</v>
      </c>
      <c r="B774" s="5" t="s">
        <v>2132</v>
      </c>
      <c r="C774" t="s">
        <v>2991</v>
      </c>
    </row>
    <row r="775" spans="1:3" x14ac:dyDescent="0.25">
      <c r="A775" t="s">
        <v>890</v>
      </c>
      <c r="B775" s="2" t="s">
        <v>1767</v>
      </c>
      <c r="C775" t="s">
        <v>2992</v>
      </c>
    </row>
    <row r="776" spans="1:3" x14ac:dyDescent="0.25">
      <c r="A776" t="s">
        <v>890</v>
      </c>
      <c r="B776" s="5" t="s">
        <v>2316</v>
      </c>
      <c r="C776" t="s">
        <v>2991</v>
      </c>
    </row>
    <row r="777" spans="1:3" x14ac:dyDescent="0.25">
      <c r="A777" t="s">
        <v>890</v>
      </c>
      <c r="B777" s="5" t="s">
        <v>1464</v>
      </c>
      <c r="C777" t="s">
        <v>953</v>
      </c>
    </row>
    <row r="778" spans="1:3" x14ac:dyDescent="0.25">
      <c r="A778" t="s">
        <v>890</v>
      </c>
      <c r="B778" s="2" t="s">
        <v>1720</v>
      </c>
      <c r="C778" t="s">
        <v>2992</v>
      </c>
    </row>
    <row r="779" spans="1:3" x14ac:dyDescent="0.25">
      <c r="A779" t="s">
        <v>890</v>
      </c>
      <c r="B779" s="5" t="s">
        <v>2163</v>
      </c>
      <c r="C779" t="s">
        <v>2991</v>
      </c>
    </row>
    <row r="780" spans="1:3" x14ac:dyDescent="0.25">
      <c r="A780" t="s">
        <v>890</v>
      </c>
      <c r="B780" s="5" t="s">
        <v>2237</v>
      </c>
      <c r="C780" t="s">
        <v>2991</v>
      </c>
    </row>
    <row r="781" spans="1:3" x14ac:dyDescent="0.25">
      <c r="A781" t="s">
        <v>890</v>
      </c>
      <c r="B781" s="5" t="s">
        <v>1895</v>
      </c>
      <c r="C781" t="s">
        <v>2991</v>
      </c>
    </row>
    <row r="782" spans="1:3" x14ac:dyDescent="0.25">
      <c r="A782" t="s">
        <v>890</v>
      </c>
      <c r="B782" s="5" t="s">
        <v>1976</v>
      </c>
      <c r="C782" t="s">
        <v>2991</v>
      </c>
    </row>
    <row r="783" spans="1:3" x14ac:dyDescent="0.25">
      <c r="A783" t="s">
        <v>890</v>
      </c>
      <c r="B783" s="5" t="s">
        <v>3211</v>
      </c>
      <c r="C783" t="s">
        <v>3288</v>
      </c>
    </row>
    <row r="784" spans="1:3" x14ac:dyDescent="0.25">
      <c r="A784" t="s">
        <v>890</v>
      </c>
      <c r="B784" s="5" t="s">
        <v>1405</v>
      </c>
      <c r="C784" t="s">
        <v>953</v>
      </c>
    </row>
    <row r="785" spans="1:3" x14ac:dyDescent="0.25">
      <c r="A785" t="s">
        <v>890</v>
      </c>
      <c r="B785" s="2" t="s">
        <v>1642</v>
      </c>
      <c r="C785" t="s">
        <v>2992</v>
      </c>
    </row>
    <row r="786" spans="1:3" x14ac:dyDescent="0.25">
      <c r="A786" t="s">
        <v>890</v>
      </c>
      <c r="B786" s="5" t="s">
        <v>1941</v>
      </c>
      <c r="C786" t="s">
        <v>2991</v>
      </c>
    </row>
    <row r="787" spans="1:3" x14ac:dyDescent="0.25">
      <c r="A787" t="s">
        <v>890</v>
      </c>
      <c r="B787" s="5" t="s">
        <v>3012</v>
      </c>
      <c r="C787" t="s">
        <v>3288</v>
      </c>
    </row>
    <row r="788" spans="1:3" x14ac:dyDescent="0.25">
      <c r="A788" t="s">
        <v>890</v>
      </c>
      <c r="B788" s="5" t="s">
        <v>1124</v>
      </c>
      <c r="C788" t="s">
        <v>953</v>
      </c>
    </row>
    <row r="789" spans="1:3" x14ac:dyDescent="0.25">
      <c r="A789" t="s">
        <v>890</v>
      </c>
      <c r="B789" s="5" t="s">
        <v>1312</v>
      </c>
      <c r="C789" t="s">
        <v>953</v>
      </c>
    </row>
    <row r="790" spans="1:3" x14ac:dyDescent="0.25">
      <c r="A790" t="s">
        <v>890</v>
      </c>
      <c r="B790" s="5" t="s">
        <v>2006</v>
      </c>
      <c r="C790" t="s">
        <v>2991</v>
      </c>
    </row>
    <row r="791" spans="1:3" x14ac:dyDescent="0.25">
      <c r="A791" t="s">
        <v>890</v>
      </c>
      <c r="B791" s="5" t="s">
        <v>2307</v>
      </c>
      <c r="C791" t="s">
        <v>2991</v>
      </c>
    </row>
    <row r="792" spans="1:3" x14ac:dyDescent="0.25">
      <c r="A792" t="s">
        <v>890</v>
      </c>
      <c r="B792" s="5" t="s">
        <v>2293</v>
      </c>
      <c r="C792" t="s">
        <v>2991</v>
      </c>
    </row>
    <row r="793" spans="1:3" x14ac:dyDescent="0.25">
      <c r="A793" t="s">
        <v>890</v>
      </c>
      <c r="B793" s="2" t="s">
        <v>1670</v>
      </c>
      <c r="C793" t="s">
        <v>2992</v>
      </c>
    </row>
    <row r="794" spans="1:3" x14ac:dyDescent="0.25">
      <c r="A794" t="s">
        <v>890</v>
      </c>
      <c r="B794" s="5" t="s">
        <v>2241</v>
      </c>
      <c r="C794" t="s">
        <v>2991</v>
      </c>
    </row>
    <row r="795" spans="1:3" x14ac:dyDescent="0.25">
      <c r="A795" t="s">
        <v>890</v>
      </c>
      <c r="B795" s="5" t="s">
        <v>3061</v>
      </c>
      <c r="C795" t="s">
        <v>3288</v>
      </c>
    </row>
    <row r="796" spans="1:3" x14ac:dyDescent="0.25">
      <c r="A796" t="s">
        <v>890</v>
      </c>
      <c r="B796" s="5" t="s">
        <v>3129</v>
      </c>
      <c r="C796" t="s">
        <v>3288</v>
      </c>
    </row>
    <row r="797" spans="1:3" x14ac:dyDescent="0.25">
      <c r="A797" t="s">
        <v>890</v>
      </c>
      <c r="B797" s="5" t="s">
        <v>2191</v>
      </c>
      <c r="C797" t="s">
        <v>2991</v>
      </c>
    </row>
    <row r="798" spans="1:3" x14ac:dyDescent="0.25">
      <c r="A798" t="s">
        <v>890</v>
      </c>
      <c r="B798" s="2" t="s">
        <v>1747</v>
      </c>
      <c r="C798" t="s">
        <v>2992</v>
      </c>
    </row>
    <row r="799" spans="1:3" x14ac:dyDescent="0.25">
      <c r="A799" t="s">
        <v>890</v>
      </c>
      <c r="B799" s="5" t="s">
        <v>1388</v>
      </c>
      <c r="C799" t="s">
        <v>953</v>
      </c>
    </row>
    <row r="800" spans="1:3" x14ac:dyDescent="0.25">
      <c r="A800" t="s">
        <v>890</v>
      </c>
      <c r="B800" s="5" t="s">
        <v>2331</v>
      </c>
      <c r="C800" t="s">
        <v>2991</v>
      </c>
    </row>
    <row r="801" spans="1:3" x14ac:dyDescent="0.25">
      <c r="A801" t="s">
        <v>890</v>
      </c>
      <c r="B801" s="5" t="s">
        <v>3055</v>
      </c>
      <c r="C801" t="s">
        <v>3288</v>
      </c>
    </row>
    <row r="802" spans="1:3" x14ac:dyDescent="0.25">
      <c r="A802" t="s">
        <v>890</v>
      </c>
      <c r="B802" s="5" t="s">
        <v>1515</v>
      </c>
      <c r="C802" t="s">
        <v>953</v>
      </c>
    </row>
    <row r="803" spans="1:3" x14ac:dyDescent="0.25">
      <c r="A803" t="s">
        <v>890</v>
      </c>
      <c r="B803" s="2" t="s">
        <v>1561</v>
      </c>
      <c r="C803" t="s">
        <v>2992</v>
      </c>
    </row>
    <row r="804" spans="1:3" x14ac:dyDescent="0.25">
      <c r="A804" t="s">
        <v>890</v>
      </c>
      <c r="B804" s="5" t="s">
        <v>3111</v>
      </c>
      <c r="C804" t="s">
        <v>3288</v>
      </c>
    </row>
    <row r="805" spans="1:3" x14ac:dyDescent="0.25">
      <c r="A805" t="s">
        <v>890</v>
      </c>
      <c r="B805" s="2" t="s">
        <v>1684</v>
      </c>
      <c r="C805" t="s">
        <v>2992</v>
      </c>
    </row>
    <row r="806" spans="1:3" x14ac:dyDescent="0.25">
      <c r="A806" t="s">
        <v>890</v>
      </c>
      <c r="B806" s="2" t="s">
        <v>1604</v>
      </c>
      <c r="C806" t="s">
        <v>2992</v>
      </c>
    </row>
    <row r="807" spans="1:3" x14ac:dyDescent="0.25">
      <c r="A807" t="s">
        <v>890</v>
      </c>
      <c r="B807" s="5" t="s">
        <v>3048</v>
      </c>
      <c r="C807" t="s">
        <v>3288</v>
      </c>
    </row>
    <row r="808" spans="1:3" x14ac:dyDescent="0.25">
      <c r="A808" t="s">
        <v>890</v>
      </c>
      <c r="B808" s="5" t="s">
        <v>3198</v>
      </c>
      <c r="C808" t="s">
        <v>3288</v>
      </c>
    </row>
    <row r="809" spans="1:3" x14ac:dyDescent="0.25">
      <c r="A809" t="s">
        <v>890</v>
      </c>
      <c r="B809" s="2" t="s">
        <v>1775</v>
      </c>
      <c r="C809" t="s">
        <v>2992</v>
      </c>
    </row>
    <row r="810" spans="1:3" x14ac:dyDescent="0.25">
      <c r="A810" t="s">
        <v>890</v>
      </c>
      <c r="B810" s="2" t="s">
        <v>1732</v>
      </c>
      <c r="C810" t="s">
        <v>2992</v>
      </c>
    </row>
    <row r="811" spans="1:3" x14ac:dyDescent="0.25">
      <c r="A811" t="s">
        <v>890</v>
      </c>
      <c r="B811" s="5" t="s">
        <v>1281</v>
      </c>
      <c r="C811" t="s">
        <v>953</v>
      </c>
    </row>
    <row r="812" spans="1:3" x14ac:dyDescent="0.25">
      <c r="A812" t="s">
        <v>890</v>
      </c>
      <c r="B812" s="5" t="s">
        <v>1156</v>
      </c>
      <c r="C812" t="s">
        <v>953</v>
      </c>
    </row>
    <row r="813" spans="1:3" x14ac:dyDescent="0.25">
      <c r="A813" t="s">
        <v>890</v>
      </c>
      <c r="B813" s="5" t="s">
        <v>1420</v>
      </c>
      <c r="C813" t="s">
        <v>953</v>
      </c>
    </row>
    <row r="814" spans="1:3" x14ac:dyDescent="0.25">
      <c r="A814" t="s">
        <v>890</v>
      </c>
      <c r="B814" s="5" t="s">
        <v>3287</v>
      </c>
      <c r="C814" t="s">
        <v>3288</v>
      </c>
    </row>
    <row r="815" spans="1:3" x14ac:dyDescent="0.25">
      <c r="A815" t="s">
        <v>890</v>
      </c>
      <c r="B815" s="5" t="s">
        <v>1330</v>
      </c>
      <c r="C815" t="s">
        <v>953</v>
      </c>
    </row>
    <row r="816" spans="1:3" x14ac:dyDescent="0.25">
      <c r="A816" t="s">
        <v>890</v>
      </c>
      <c r="B816" s="2" t="s">
        <v>1757</v>
      </c>
      <c r="C816" t="s">
        <v>2992</v>
      </c>
    </row>
    <row r="817" spans="1:3" x14ac:dyDescent="0.25">
      <c r="A817" t="s">
        <v>890</v>
      </c>
      <c r="B817" s="5" t="s">
        <v>3225</v>
      </c>
      <c r="C817" t="s">
        <v>3288</v>
      </c>
    </row>
    <row r="818" spans="1:3" x14ac:dyDescent="0.25">
      <c r="A818" t="s">
        <v>890</v>
      </c>
      <c r="B818" s="5" t="s">
        <v>3074</v>
      </c>
      <c r="C818" t="s">
        <v>3288</v>
      </c>
    </row>
    <row r="819" spans="1:3" x14ac:dyDescent="0.25">
      <c r="A819" t="s">
        <v>890</v>
      </c>
      <c r="B819" s="5" t="s">
        <v>3181</v>
      </c>
      <c r="C819" t="s">
        <v>3288</v>
      </c>
    </row>
    <row r="820" spans="1:3" x14ac:dyDescent="0.25">
      <c r="A820" t="s">
        <v>890</v>
      </c>
      <c r="B820" s="2" t="s">
        <v>1761</v>
      </c>
      <c r="C820" t="s">
        <v>2992</v>
      </c>
    </row>
    <row r="821" spans="1:3" x14ac:dyDescent="0.25">
      <c r="A821" t="s">
        <v>890</v>
      </c>
      <c r="B821" s="5" t="s">
        <v>1266</v>
      </c>
      <c r="C821" t="s">
        <v>953</v>
      </c>
    </row>
    <row r="822" spans="1:3" x14ac:dyDescent="0.25">
      <c r="A822" t="s">
        <v>890</v>
      </c>
      <c r="B822" s="5" t="s">
        <v>2277</v>
      </c>
      <c r="C822" t="s">
        <v>2991</v>
      </c>
    </row>
    <row r="823" spans="1:3" x14ac:dyDescent="0.25">
      <c r="A823" t="s">
        <v>890</v>
      </c>
      <c r="B823" s="2" t="s">
        <v>1539</v>
      </c>
      <c r="C823" t="s">
        <v>2992</v>
      </c>
    </row>
    <row r="824" spans="1:3" x14ac:dyDescent="0.25">
      <c r="A824" t="s">
        <v>890</v>
      </c>
      <c r="B824" s="5" t="s">
        <v>3262</v>
      </c>
      <c r="C824" t="s">
        <v>3288</v>
      </c>
    </row>
    <row r="825" spans="1:3" x14ac:dyDescent="0.25">
      <c r="A825" t="s">
        <v>890</v>
      </c>
      <c r="B825" s="2" t="s">
        <v>1593</v>
      </c>
      <c r="C825" t="s">
        <v>2992</v>
      </c>
    </row>
    <row r="826" spans="1:3" x14ac:dyDescent="0.25">
      <c r="A826" t="s">
        <v>890</v>
      </c>
      <c r="B826" s="5" t="s">
        <v>1108</v>
      </c>
      <c r="C826" t="s">
        <v>953</v>
      </c>
    </row>
    <row r="827" spans="1:3" x14ac:dyDescent="0.25">
      <c r="A827" t="s">
        <v>890</v>
      </c>
      <c r="B827" s="5" t="s">
        <v>1478</v>
      </c>
      <c r="C827" t="s">
        <v>953</v>
      </c>
    </row>
    <row r="828" spans="1:3" x14ac:dyDescent="0.25">
      <c r="A828" t="s">
        <v>890</v>
      </c>
      <c r="B828" s="5" t="s">
        <v>1428</v>
      </c>
      <c r="C828" t="s">
        <v>953</v>
      </c>
    </row>
    <row r="829" spans="1:3" x14ac:dyDescent="0.25">
      <c r="A829" t="s">
        <v>890</v>
      </c>
      <c r="B829" s="2" t="s">
        <v>1813</v>
      </c>
      <c r="C829" t="s">
        <v>2992</v>
      </c>
    </row>
    <row r="830" spans="1:3" x14ac:dyDescent="0.25">
      <c r="A830" t="s">
        <v>890</v>
      </c>
      <c r="B830" s="2" t="s">
        <v>1650</v>
      </c>
      <c r="C830" t="s">
        <v>2992</v>
      </c>
    </row>
    <row r="831" spans="1:3" x14ac:dyDescent="0.25">
      <c r="A831" t="s">
        <v>890</v>
      </c>
      <c r="B831" s="5" t="s">
        <v>2135</v>
      </c>
      <c r="C831" t="s">
        <v>2991</v>
      </c>
    </row>
    <row r="832" spans="1:3" x14ac:dyDescent="0.25">
      <c r="A832" t="s">
        <v>890</v>
      </c>
      <c r="B832" s="5" t="s">
        <v>2087</v>
      </c>
      <c r="C832" t="s">
        <v>2991</v>
      </c>
    </row>
    <row r="833" spans="1:3" x14ac:dyDescent="0.25">
      <c r="A833" t="s">
        <v>890</v>
      </c>
      <c r="B833" s="2" t="s">
        <v>1602</v>
      </c>
      <c r="C833" t="s">
        <v>2992</v>
      </c>
    </row>
    <row r="834" spans="1:3" x14ac:dyDescent="0.25">
      <c r="A834" t="s">
        <v>890</v>
      </c>
      <c r="B834" s="2" t="s">
        <v>1605</v>
      </c>
      <c r="C834" t="s">
        <v>2992</v>
      </c>
    </row>
    <row r="835" spans="1:3" x14ac:dyDescent="0.25">
      <c r="A835" t="s">
        <v>890</v>
      </c>
      <c r="B835" s="5" t="s">
        <v>3164</v>
      </c>
      <c r="C835" t="s">
        <v>3288</v>
      </c>
    </row>
    <row r="836" spans="1:3" x14ac:dyDescent="0.25">
      <c r="A836" t="s">
        <v>890</v>
      </c>
      <c r="B836" s="2" t="s">
        <v>1763</v>
      </c>
      <c r="C836" t="s">
        <v>2992</v>
      </c>
    </row>
    <row r="837" spans="1:3" x14ac:dyDescent="0.25">
      <c r="A837" t="s">
        <v>890</v>
      </c>
      <c r="B837" s="5" t="s">
        <v>1331</v>
      </c>
      <c r="C837" t="s">
        <v>953</v>
      </c>
    </row>
    <row r="838" spans="1:3" x14ac:dyDescent="0.25">
      <c r="A838" t="s">
        <v>890</v>
      </c>
      <c r="B838" s="5" t="s">
        <v>1471</v>
      </c>
      <c r="C838" t="s">
        <v>953</v>
      </c>
    </row>
    <row r="839" spans="1:3" x14ac:dyDescent="0.25">
      <c r="A839" t="s">
        <v>890</v>
      </c>
      <c r="B839" s="5" t="s">
        <v>1964</v>
      </c>
      <c r="C839" t="s">
        <v>2991</v>
      </c>
    </row>
    <row r="840" spans="1:3" x14ac:dyDescent="0.25">
      <c r="A840" t="s">
        <v>890</v>
      </c>
      <c r="B840" s="5" t="s">
        <v>2374</v>
      </c>
      <c r="C840" t="s">
        <v>2991</v>
      </c>
    </row>
    <row r="841" spans="1:3" x14ac:dyDescent="0.25">
      <c r="A841" t="s">
        <v>890</v>
      </c>
      <c r="B841" s="5" t="s">
        <v>2019</v>
      </c>
      <c r="C841" t="s">
        <v>2991</v>
      </c>
    </row>
    <row r="842" spans="1:3" x14ac:dyDescent="0.25">
      <c r="A842" t="s">
        <v>890</v>
      </c>
      <c r="B842" s="2" t="s">
        <v>1727</v>
      </c>
      <c r="C842" t="s">
        <v>2992</v>
      </c>
    </row>
    <row r="843" spans="1:3" x14ac:dyDescent="0.25">
      <c r="A843" t="s">
        <v>890</v>
      </c>
      <c r="B843" s="5" t="s">
        <v>2253</v>
      </c>
      <c r="C843" t="s">
        <v>2991</v>
      </c>
    </row>
    <row r="844" spans="1:3" x14ac:dyDescent="0.25">
      <c r="A844" t="s">
        <v>890</v>
      </c>
      <c r="B844" s="5" t="s">
        <v>3218</v>
      </c>
      <c r="C844" t="s">
        <v>3288</v>
      </c>
    </row>
    <row r="845" spans="1:3" x14ac:dyDescent="0.25">
      <c r="A845" t="s">
        <v>890</v>
      </c>
      <c r="B845" s="5" t="s">
        <v>3097</v>
      </c>
      <c r="C845" t="s">
        <v>3288</v>
      </c>
    </row>
    <row r="846" spans="1:3" x14ac:dyDescent="0.25">
      <c r="A846" t="s">
        <v>890</v>
      </c>
      <c r="B846" s="5" t="s">
        <v>2428</v>
      </c>
      <c r="C846" t="s">
        <v>2991</v>
      </c>
    </row>
    <row r="847" spans="1:3" x14ac:dyDescent="0.25">
      <c r="A847" t="s">
        <v>890</v>
      </c>
      <c r="B847" s="5" t="s">
        <v>3071</v>
      </c>
      <c r="C847" t="s">
        <v>3288</v>
      </c>
    </row>
    <row r="848" spans="1:3" x14ac:dyDescent="0.25">
      <c r="A848" t="s">
        <v>890</v>
      </c>
      <c r="B848" s="2" t="s">
        <v>1576</v>
      </c>
      <c r="C848" t="s">
        <v>2992</v>
      </c>
    </row>
    <row r="849" spans="1:3" x14ac:dyDescent="0.25">
      <c r="A849" t="s">
        <v>890</v>
      </c>
      <c r="B849" s="5" t="s">
        <v>3162</v>
      </c>
      <c r="C849" t="s">
        <v>3288</v>
      </c>
    </row>
    <row r="850" spans="1:3" x14ac:dyDescent="0.25">
      <c r="A850" t="s">
        <v>890</v>
      </c>
      <c r="B850" s="5" t="s">
        <v>3165</v>
      </c>
      <c r="C850" t="s">
        <v>3288</v>
      </c>
    </row>
    <row r="851" spans="1:3" x14ac:dyDescent="0.25">
      <c r="A851" t="s">
        <v>890</v>
      </c>
      <c r="B851" s="5" t="s">
        <v>3172</v>
      </c>
      <c r="C851" t="s">
        <v>3288</v>
      </c>
    </row>
    <row r="852" spans="1:3" x14ac:dyDescent="0.25">
      <c r="A852" t="s">
        <v>890</v>
      </c>
      <c r="B852" s="2" t="s">
        <v>1628</v>
      </c>
      <c r="C852" t="s">
        <v>2992</v>
      </c>
    </row>
    <row r="853" spans="1:3" x14ac:dyDescent="0.25">
      <c r="A853" t="s">
        <v>890</v>
      </c>
      <c r="B853" s="5" t="s">
        <v>1344</v>
      </c>
      <c r="C853" t="s">
        <v>953</v>
      </c>
    </row>
    <row r="854" spans="1:3" x14ac:dyDescent="0.25">
      <c r="A854" t="s">
        <v>890</v>
      </c>
      <c r="B854" s="5" t="s">
        <v>1987</v>
      </c>
      <c r="C854" t="s">
        <v>2991</v>
      </c>
    </row>
    <row r="855" spans="1:3" x14ac:dyDescent="0.25">
      <c r="A855" t="s">
        <v>890</v>
      </c>
      <c r="B855" s="5" t="s">
        <v>3022</v>
      </c>
      <c r="C855" t="s">
        <v>3288</v>
      </c>
    </row>
    <row r="856" spans="1:3" x14ac:dyDescent="0.25">
      <c r="A856" t="s">
        <v>890</v>
      </c>
      <c r="B856" s="5" t="s">
        <v>1903</v>
      </c>
      <c r="C856" t="s">
        <v>2991</v>
      </c>
    </row>
    <row r="857" spans="1:3" x14ac:dyDescent="0.25">
      <c r="A857" t="s">
        <v>890</v>
      </c>
      <c r="B857" s="5" t="s">
        <v>3163</v>
      </c>
      <c r="C857" t="s">
        <v>3288</v>
      </c>
    </row>
    <row r="858" spans="1:3" x14ac:dyDescent="0.25">
      <c r="A858" t="s">
        <v>890</v>
      </c>
      <c r="B858" s="5" t="s">
        <v>3153</v>
      </c>
      <c r="C858" t="s">
        <v>3288</v>
      </c>
    </row>
    <row r="859" spans="1:3" x14ac:dyDescent="0.25">
      <c r="A859" t="s">
        <v>890</v>
      </c>
      <c r="B859" s="5" t="s">
        <v>1394</v>
      </c>
      <c r="C859" t="s">
        <v>953</v>
      </c>
    </row>
    <row r="860" spans="1:3" x14ac:dyDescent="0.25">
      <c r="A860" t="s">
        <v>890</v>
      </c>
      <c r="B860" s="2" t="s">
        <v>1536</v>
      </c>
      <c r="C860" t="s">
        <v>2992</v>
      </c>
    </row>
    <row r="861" spans="1:3" x14ac:dyDescent="0.25">
      <c r="A861" t="s">
        <v>890</v>
      </c>
      <c r="B861" s="5" t="s">
        <v>1509</v>
      </c>
      <c r="C861" t="s">
        <v>953</v>
      </c>
    </row>
    <row r="862" spans="1:3" x14ac:dyDescent="0.25">
      <c r="A862" t="s">
        <v>890</v>
      </c>
      <c r="B862" s="5" t="s">
        <v>1396</v>
      </c>
      <c r="C862" t="s">
        <v>953</v>
      </c>
    </row>
    <row r="863" spans="1:3" x14ac:dyDescent="0.25">
      <c r="A863" t="s">
        <v>890</v>
      </c>
      <c r="B863" s="5" t="s">
        <v>2080</v>
      </c>
      <c r="C863" t="s">
        <v>2991</v>
      </c>
    </row>
    <row r="864" spans="1:3" x14ac:dyDescent="0.25">
      <c r="A864" t="s">
        <v>890</v>
      </c>
      <c r="B864" s="5" t="s">
        <v>1886</v>
      </c>
      <c r="C864" t="s">
        <v>2991</v>
      </c>
    </row>
    <row r="865" spans="1:3" x14ac:dyDescent="0.25">
      <c r="A865" t="s">
        <v>890</v>
      </c>
      <c r="B865" s="5" t="s">
        <v>3182</v>
      </c>
      <c r="C865" t="s">
        <v>3288</v>
      </c>
    </row>
    <row r="866" spans="1:3" x14ac:dyDescent="0.25">
      <c r="A866" t="s">
        <v>890</v>
      </c>
      <c r="B866" s="5" t="s">
        <v>3161</v>
      </c>
      <c r="C866" t="s">
        <v>3288</v>
      </c>
    </row>
    <row r="867" spans="1:3" x14ac:dyDescent="0.25">
      <c r="A867" t="s">
        <v>890</v>
      </c>
      <c r="B867" s="5" t="s">
        <v>3082</v>
      </c>
      <c r="C867" t="s">
        <v>3288</v>
      </c>
    </row>
    <row r="868" spans="1:3" x14ac:dyDescent="0.25">
      <c r="A868" t="s">
        <v>890</v>
      </c>
      <c r="B868" s="2" t="s">
        <v>1756</v>
      </c>
      <c r="C868" t="s">
        <v>2992</v>
      </c>
    </row>
    <row r="869" spans="1:3" x14ac:dyDescent="0.25">
      <c r="A869" t="s">
        <v>890</v>
      </c>
      <c r="B869" s="5" t="s">
        <v>3140</v>
      </c>
      <c r="C869" t="s">
        <v>3288</v>
      </c>
    </row>
    <row r="870" spans="1:3" x14ac:dyDescent="0.25">
      <c r="A870" t="s">
        <v>890</v>
      </c>
      <c r="B870" s="5" t="s">
        <v>3269</v>
      </c>
      <c r="C870" t="s">
        <v>3288</v>
      </c>
    </row>
    <row r="871" spans="1:3" x14ac:dyDescent="0.25">
      <c r="A871" t="s">
        <v>890</v>
      </c>
      <c r="B871" s="5" t="s">
        <v>1295</v>
      </c>
      <c r="C871" t="s">
        <v>953</v>
      </c>
    </row>
    <row r="872" spans="1:3" x14ac:dyDescent="0.25">
      <c r="A872" t="s">
        <v>890</v>
      </c>
      <c r="B872" s="5" t="s">
        <v>1444</v>
      </c>
      <c r="C872" t="s">
        <v>953</v>
      </c>
    </row>
    <row r="873" spans="1:3" x14ac:dyDescent="0.25">
      <c r="A873" t="s">
        <v>890</v>
      </c>
      <c r="B873" s="5" t="s">
        <v>1057</v>
      </c>
      <c r="C873" t="s">
        <v>953</v>
      </c>
    </row>
    <row r="874" spans="1:3" x14ac:dyDescent="0.25">
      <c r="A874" t="s">
        <v>890</v>
      </c>
      <c r="B874" s="2" t="s">
        <v>1703</v>
      </c>
      <c r="C874" t="s">
        <v>2992</v>
      </c>
    </row>
    <row r="875" spans="1:3" x14ac:dyDescent="0.25">
      <c r="A875" t="s">
        <v>890</v>
      </c>
      <c r="B875" s="5" t="s">
        <v>2153</v>
      </c>
      <c r="C875" t="s">
        <v>2991</v>
      </c>
    </row>
    <row r="876" spans="1:3" x14ac:dyDescent="0.25">
      <c r="A876" t="s">
        <v>890</v>
      </c>
      <c r="B876" s="5" t="s">
        <v>3229</v>
      </c>
      <c r="C876" t="s">
        <v>3288</v>
      </c>
    </row>
    <row r="877" spans="1:3" x14ac:dyDescent="0.25">
      <c r="A877" t="s">
        <v>890</v>
      </c>
      <c r="B877" s="5" t="s">
        <v>1348</v>
      </c>
      <c r="C877" t="s">
        <v>953</v>
      </c>
    </row>
    <row r="878" spans="1:3" x14ac:dyDescent="0.25">
      <c r="A878" t="s">
        <v>890</v>
      </c>
      <c r="B878" t="s">
        <v>3120</v>
      </c>
      <c r="C878" t="s">
        <v>3288</v>
      </c>
    </row>
    <row r="879" spans="1:3" x14ac:dyDescent="0.25">
      <c r="A879" t="s">
        <v>890</v>
      </c>
      <c r="B879" t="s">
        <v>2193</v>
      </c>
      <c r="C879" t="s">
        <v>2991</v>
      </c>
    </row>
    <row r="880" spans="1:3" x14ac:dyDescent="0.25">
      <c r="A880" t="s">
        <v>890</v>
      </c>
      <c r="B880" t="s">
        <v>3113</v>
      </c>
      <c r="C880" t="s">
        <v>3288</v>
      </c>
    </row>
    <row r="881" spans="1:3" x14ac:dyDescent="0.25">
      <c r="A881" t="s">
        <v>890</v>
      </c>
      <c r="B881" t="s">
        <v>1366</v>
      </c>
      <c r="C881" t="s">
        <v>953</v>
      </c>
    </row>
    <row r="882" spans="1:3" x14ac:dyDescent="0.25">
      <c r="A882" t="s">
        <v>890</v>
      </c>
      <c r="B882" s="4" t="s">
        <v>1783</v>
      </c>
      <c r="C882" t="s">
        <v>2992</v>
      </c>
    </row>
    <row r="883" spans="1:3" x14ac:dyDescent="0.25">
      <c r="A883" t="s">
        <v>890</v>
      </c>
      <c r="B883" s="4" t="s">
        <v>1634</v>
      </c>
      <c r="C883" t="s">
        <v>2992</v>
      </c>
    </row>
    <row r="884" spans="1:3" x14ac:dyDescent="0.25">
      <c r="A884" t="s">
        <v>890</v>
      </c>
      <c r="B884" s="4" t="s">
        <v>1672</v>
      </c>
      <c r="C884" t="s">
        <v>2992</v>
      </c>
    </row>
    <row r="885" spans="1:3" x14ac:dyDescent="0.25">
      <c r="A885" t="s">
        <v>890</v>
      </c>
      <c r="B885" t="s">
        <v>1983</v>
      </c>
      <c r="C885" t="s">
        <v>2991</v>
      </c>
    </row>
    <row r="886" spans="1:3" x14ac:dyDescent="0.25">
      <c r="A886" t="s">
        <v>890</v>
      </c>
      <c r="B886" t="s">
        <v>1461</v>
      </c>
      <c r="C886" t="s">
        <v>953</v>
      </c>
    </row>
    <row r="887" spans="1:3" x14ac:dyDescent="0.25">
      <c r="A887" t="s">
        <v>890</v>
      </c>
      <c r="B887" s="4" t="s">
        <v>1733</v>
      </c>
      <c r="C887" t="s">
        <v>2992</v>
      </c>
    </row>
    <row r="888" spans="1:3" x14ac:dyDescent="0.25">
      <c r="A888" t="s">
        <v>890</v>
      </c>
      <c r="B888" s="4" t="s">
        <v>1704</v>
      </c>
      <c r="C888" t="s">
        <v>2992</v>
      </c>
    </row>
    <row r="889" spans="1:3" x14ac:dyDescent="0.25">
      <c r="A889" t="s">
        <v>890</v>
      </c>
      <c r="B889" t="s">
        <v>1909</v>
      </c>
      <c r="C889" t="s">
        <v>2991</v>
      </c>
    </row>
    <row r="890" spans="1:3" x14ac:dyDescent="0.25">
      <c r="A890" t="s">
        <v>890</v>
      </c>
      <c r="B890" s="4" t="s">
        <v>1657</v>
      </c>
      <c r="C890" t="s">
        <v>2992</v>
      </c>
    </row>
    <row r="891" spans="1:3" x14ac:dyDescent="0.25">
      <c r="A891" t="s">
        <v>890</v>
      </c>
      <c r="B891" t="s">
        <v>3123</v>
      </c>
      <c r="C891" t="s">
        <v>3288</v>
      </c>
    </row>
    <row r="892" spans="1:3" x14ac:dyDescent="0.25">
      <c r="A892" t="s">
        <v>890</v>
      </c>
      <c r="B892" t="s">
        <v>1517</v>
      </c>
      <c r="C892" t="s">
        <v>953</v>
      </c>
    </row>
    <row r="893" spans="1:3" x14ac:dyDescent="0.25">
      <c r="A893" t="s">
        <v>890</v>
      </c>
      <c r="B893" t="s">
        <v>1524</v>
      </c>
      <c r="C893" t="s">
        <v>953</v>
      </c>
    </row>
    <row r="894" spans="1:3" x14ac:dyDescent="0.25">
      <c r="A894" t="s">
        <v>890</v>
      </c>
      <c r="B894" t="s">
        <v>3204</v>
      </c>
      <c r="C894" t="s">
        <v>3288</v>
      </c>
    </row>
    <row r="895" spans="1:3" x14ac:dyDescent="0.25">
      <c r="A895" t="s">
        <v>890</v>
      </c>
      <c r="B895" t="s">
        <v>2386</v>
      </c>
      <c r="C895" t="s">
        <v>2991</v>
      </c>
    </row>
    <row r="896" spans="1:3" x14ac:dyDescent="0.25">
      <c r="A896" t="s">
        <v>890</v>
      </c>
      <c r="B896" s="4" t="s">
        <v>1809</v>
      </c>
      <c r="C896" t="s">
        <v>2992</v>
      </c>
    </row>
    <row r="897" spans="1:3" x14ac:dyDescent="0.25">
      <c r="A897" t="s">
        <v>890</v>
      </c>
      <c r="B897" t="s">
        <v>2154</v>
      </c>
      <c r="C897" t="s">
        <v>2991</v>
      </c>
    </row>
    <row r="898" spans="1:3" x14ac:dyDescent="0.25">
      <c r="A898" t="s">
        <v>890</v>
      </c>
      <c r="B898" t="s">
        <v>3019</v>
      </c>
      <c r="C898" t="s">
        <v>3288</v>
      </c>
    </row>
    <row r="899" spans="1:3" x14ac:dyDescent="0.25">
      <c r="A899" t="s">
        <v>890</v>
      </c>
      <c r="B899" t="s">
        <v>3209</v>
      </c>
      <c r="C899" t="s">
        <v>3288</v>
      </c>
    </row>
    <row r="900" spans="1:3" x14ac:dyDescent="0.25">
      <c r="A900" t="s">
        <v>890</v>
      </c>
      <c r="B900" t="s">
        <v>3190</v>
      </c>
      <c r="C900" t="s">
        <v>3288</v>
      </c>
    </row>
    <row r="901" spans="1:3" x14ac:dyDescent="0.25">
      <c r="A901" t="s">
        <v>890</v>
      </c>
      <c r="B901" t="s">
        <v>1935</v>
      </c>
      <c r="C901" t="s">
        <v>2991</v>
      </c>
    </row>
    <row r="902" spans="1:3" x14ac:dyDescent="0.25">
      <c r="A902" t="s">
        <v>890</v>
      </c>
      <c r="B902" s="4" t="s">
        <v>1622</v>
      </c>
      <c r="C902" t="s">
        <v>2992</v>
      </c>
    </row>
    <row r="903" spans="1:3" x14ac:dyDescent="0.25">
      <c r="A903" t="s">
        <v>890</v>
      </c>
      <c r="B903" t="s">
        <v>3266</v>
      </c>
      <c r="C903" t="s">
        <v>3288</v>
      </c>
    </row>
    <row r="904" spans="1:3" x14ac:dyDescent="0.25">
      <c r="A904" t="s">
        <v>890</v>
      </c>
      <c r="B904" s="4" t="s">
        <v>1686</v>
      </c>
      <c r="C904" t="s">
        <v>2992</v>
      </c>
    </row>
    <row r="905" spans="1:3" x14ac:dyDescent="0.25">
      <c r="A905" t="s">
        <v>890</v>
      </c>
      <c r="B905" t="s">
        <v>2097</v>
      </c>
      <c r="C905" t="s">
        <v>2991</v>
      </c>
    </row>
    <row r="906" spans="1:3" x14ac:dyDescent="0.25">
      <c r="A906" t="s">
        <v>890</v>
      </c>
      <c r="B906" t="s">
        <v>1481</v>
      </c>
      <c r="C906" t="s">
        <v>953</v>
      </c>
    </row>
    <row r="907" spans="1:3" x14ac:dyDescent="0.25">
      <c r="A907" t="s">
        <v>890</v>
      </c>
      <c r="B907" t="s">
        <v>1030</v>
      </c>
      <c r="C907" t="s">
        <v>953</v>
      </c>
    </row>
    <row r="908" spans="1:3" x14ac:dyDescent="0.25">
      <c r="A908" t="s">
        <v>890</v>
      </c>
      <c r="B908" t="s">
        <v>1146</v>
      </c>
      <c r="C908" t="s">
        <v>953</v>
      </c>
    </row>
    <row r="909" spans="1:3" x14ac:dyDescent="0.25">
      <c r="A909" t="s">
        <v>890</v>
      </c>
      <c r="B909" s="4" t="s">
        <v>1666</v>
      </c>
      <c r="C909" t="s">
        <v>2992</v>
      </c>
    </row>
    <row r="910" spans="1:3" x14ac:dyDescent="0.25">
      <c r="A910" t="s">
        <v>890</v>
      </c>
      <c r="B910" s="4" t="s">
        <v>1784</v>
      </c>
      <c r="C910" t="s">
        <v>2992</v>
      </c>
    </row>
    <row r="911" spans="1:3" x14ac:dyDescent="0.25">
      <c r="A911" t="s">
        <v>890</v>
      </c>
      <c r="B911" t="s">
        <v>1454</v>
      </c>
      <c r="C911" t="s">
        <v>953</v>
      </c>
    </row>
    <row r="912" spans="1:3" x14ac:dyDescent="0.25">
      <c r="A912" t="s">
        <v>890</v>
      </c>
      <c r="B912" t="s">
        <v>1256</v>
      </c>
      <c r="C912" t="s">
        <v>953</v>
      </c>
    </row>
    <row r="913" spans="1:3" x14ac:dyDescent="0.25">
      <c r="A913" t="s">
        <v>890</v>
      </c>
      <c r="B913" t="s">
        <v>3188</v>
      </c>
      <c r="C913" t="s">
        <v>3288</v>
      </c>
    </row>
    <row r="914" spans="1:3" x14ac:dyDescent="0.25">
      <c r="A914" t="s">
        <v>890</v>
      </c>
      <c r="B914" t="s">
        <v>1250</v>
      </c>
      <c r="C914" t="s">
        <v>953</v>
      </c>
    </row>
    <row r="915" spans="1:3" x14ac:dyDescent="0.25">
      <c r="A915" t="s">
        <v>890</v>
      </c>
      <c r="B915" t="s">
        <v>3144</v>
      </c>
      <c r="C915" t="s">
        <v>3288</v>
      </c>
    </row>
    <row r="916" spans="1:3" x14ac:dyDescent="0.25">
      <c r="A916" t="s">
        <v>890</v>
      </c>
      <c r="B916" t="s">
        <v>3286</v>
      </c>
      <c r="C916" t="s">
        <v>3288</v>
      </c>
    </row>
    <row r="917" spans="1:3" x14ac:dyDescent="0.25">
      <c r="A917" t="s">
        <v>890</v>
      </c>
      <c r="B917" t="s">
        <v>1496</v>
      </c>
      <c r="C917" t="s">
        <v>953</v>
      </c>
    </row>
    <row r="918" spans="1:3" x14ac:dyDescent="0.25">
      <c r="A918" t="s">
        <v>890</v>
      </c>
      <c r="B918" s="4" t="s">
        <v>1555</v>
      </c>
      <c r="C918" t="s">
        <v>2992</v>
      </c>
    </row>
    <row r="919" spans="1:3" x14ac:dyDescent="0.25">
      <c r="A919" t="s">
        <v>890</v>
      </c>
      <c r="B919" t="s">
        <v>1308</v>
      </c>
      <c r="C919" t="s">
        <v>953</v>
      </c>
    </row>
    <row r="920" spans="1:3" x14ac:dyDescent="0.25">
      <c r="A920" t="s">
        <v>890</v>
      </c>
      <c r="B920" t="s">
        <v>2180</v>
      </c>
      <c r="C920" t="s">
        <v>2991</v>
      </c>
    </row>
    <row r="921" spans="1:3" x14ac:dyDescent="0.25">
      <c r="A921" t="s">
        <v>890</v>
      </c>
      <c r="B921" t="s">
        <v>2058</v>
      </c>
      <c r="C921" t="s">
        <v>2991</v>
      </c>
    </row>
    <row r="922" spans="1:3" x14ac:dyDescent="0.25">
      <c r="A922" t="s">
        <v>890</v>
      </c>
      <c r="B922" t="s">
        <v>3261</v>
      </c>
      <c r="C922" t="s">
        <v>3288</v>
      </c>
    </row>
    <row r="923" spans="1:3" x14ac:dyDescent="0.25">
      <c r="A923" t="s">
        <v>890</v>
      </c>
      <c r="B923" s="4" t="s">
        <v>1587</v>
      </c>
      <c r="C923" t="s">
        <v>2992</v>
      </c>
    </row>
    <row r="924" spans="1:3" x14ac:dyDescent="0.25">
      <c r="A924" t="s">
        <v>890</v>
      </c>
      <c r="B924" s="4" t="s">
        <v>1716</v>
      </c>
      <c r="C924" t="s">
        <v>2992</v>
      </c>
    </row>
    <row r="925" spans="1:3" x14ac:dyDescent="0.25">
      <c r="A925" t="s">
        <v>890</v>
      </c>
      <c r="B925" s="4" t="s">
        <v>1818</v>
      </c>
      <c r="C925" t="s">
        <v>2992</v>
      </c>
    </row>
    <row r="926" spans="1:3" x14ac:dyDescent="0.25">
      <c r="A926" t="s">
        <v>890</v>
      </c>
      <c r="B926" t="s">
        <v>2291</v>
      </c>
      <c r="C926" t="s">
        <v>2991</v>
      </c>
    </row>
    <row r="927" spans="1:3" x14ac:dyDescent="0.25">
      <c r="A927" t="s">
        <v>890</v>
      </c>
      <c r="B927" t="s">
        <v>2244</v>
      </c>
      <c r="C927" t="s">
        <v>2991</v>
      </c>
    </row>
    <row r="928" spans="1:3" x14ac:dyDescent="0.25">
      <c r="A928" t="s">
        <v>890</v>
      </c>
      <c r="B928" t="s">
        <v>2304</v>
      </c>
      <c r="C928" t="s">
        <v>2991</v>
      </c>
    </row>
    <row r="929" spans="1:3" x14ac:dyDescent="0.25">
      <c r="A929" t="s">
        <v>890</v>
      </c>
      <c r="B929" t="s">
        <v>3237</v>
      </c>
      <c r="C929" t="s">
        <v>3288</v>
      </c>
    </row>
    <row r="930" spans="1:3" x14ac:dyDescent="0.25">
      <c r="A930" t="s">
        <v>890</v>
      </c>
      <c r="B930" t="s">
        <v>3215</v>
      </c>
      <c r="C930" t="s">
        <v>3288</v>
      </c>
    </row>
    <row r="931" spans="1:3" x14ac:dyDescent="0.25">
      <c r="A931" t="s">
        <v>890</v>
      </c>
      <c r="B931" t="s">
        <v>1468</v>
      </c>
      <c r="C931" t="s">
        <v>953</v>
      </c>
    </row>
    <row r="932" spans="1:3" x14ac:dyDescent="0.25">
      <c r="A932" t="s">
        <v>890</v>
      </c>
      <c r="B932" t="s">
        <v>3251</v>
      </c>
      <c r="C932" t="s">
        <v>3288</v>
      </c>
    </row>
    <row r="933" spans="1:3" x14ac:dyDescent="0.25">
      <c r="A933" t="s">
        <v>890</v>
      </c>
      <c r="B933" t="s">
        <v>1500</v>
      </c>
      <c r="C933" t="s">
        <v>953</v>
      </c>
    </row>
    <row r="934" spans="1:3" x14ac:dyDescent="0.25">
      <c r="A934" t="s">
        <v>890</v>
      </c>
      <c r="B934" t="s">
        <v>3196</v>
      </c>
      <c r="C934" t="s">
        <v>3288</v>
      </c>
    </row>
    <row r="935" spans="1:3" x14ac:dyDescent="0.25">
      <c r="A935" t="s">
        <v>890</v>
      </c>
      <c r="B935" t="s">
        <v>1402</v>
      </c>
      <c r="C935" t="s">
        <v>953</v>
      </c>
    </row>
    <row r="936" spans="1:3" x14ac:dyDescent="0.25">
      <c r="A936" t="s">
        <v>890</v>
      </c>
      <c r="B936" s="4" t="s">
        <v>1571</v>
      </c>
      <c r="C936" t="s">
        <v>2992</v>
      </c>
    </row>
    <row r="937" spans="1:3" x14ac:dyDescent="0.25">
      <c r="A937" t="s">
        <v>890</v>
      </c>
      <c r="B937" t="s">
        <v>2138</v>
      </c>
      <c r="C937" t="s">
        <v>2991</v>
      </c>
    </row>
    <row r="938" spans="1:3" x14ac:dyDescent="0.25">
      <c r="A938" t="s">
        <v>890</v>
      </c>
      <c r="B938" t="s">
        <v>1438</v>
      </c>
      <c r="C938" t="s">
        <v>953</v>
      </c>
    </row>
    <row r="939" spans="1:3" x14ac:dyDescent="0.25">
      <c r="A939" t="s">
        <v>890</v>
      </c>
      <c r="B939" t="s">
        <v>3263</v>
      </c>
      <c r="C939" t="s">
        <v>3288</v>
      </c>
    </row>
    <row r="940" spans="1:3" x14ac:dyDescent="0.25">
      <c r="A940" t="s">
        <v>890</v>
      </c>
      <c r="B940" t="s">
        <v>3099</v>
      </c>
      <c r="C940" t="s">
        <v>3288</v>
      </c>
    </row>
    <row r="941" spans="1:3" x14ac:dyDescent="0.25">
      <c r="A941" t="s">
        <v>890</v>
      </c>
      <c r="B941" t="s">
        <v>2299</v>
      </c>
      <c r="C941" t="s">
        <v>2991</v>
      </c>
    </row>
    <row r="942" spans="1:3" x14ac:dyDescent="0.25">
      <c r="A942" t="s">
        <v>890</v>
      </c>
      <c r="B942" t="s">
        <v>3046</v>
      </c>
      <c r="C942" t="s">
        <v>3288</v>
      </c>
    </row>
    <row r="943" spans="1:3" x14ac:dyDescent="0.25">
      <c r="A943" t="s">
        <v>890</v>
      </c>
      <c r="B943" t="s">
        <v>1401</v>
      </c>
      <c r="C943" t="s">
        <v>953</v>
      </c>
    </row>
    <row r="944" spans="1:3" x14ac:dyDescent="0.25">
      <c r="A944" t="s">
        <v>890</v>
      </c>
      <c r="B944" t="s">
        <v>2319</v>
      </c>
      <c r="C944" t="s">
        <v>2991</v>
      </c>
    </row>
    <row r="945" spans="1:3" x14ac:dyDescent="0.25">
      <c r="A945" t="s">
        <v>890</v>
      </c>
      <c r="B945" t="s">
        <v>1332</v>
      </c>
      <c r="C945" t="s">
        <v>953</v>
      </c>
    </row>
    <row r="946" spans="1:3" x14ac:dyDescent="0.25">
      <c r="A946" t="s">
        <v>890</v>
      </c>
      <c r="B946" t="s">
        <v>1378</v>
      </c>
      <c r="C946" t="s">
        <v>953</v>
      </c>
    </row>
    <row r="947" spans="1:3" x14ac:dyDescent="0.25">
      <c r="A947" t="s">
        <v>890</v>
      </c>
      <c r="B947" s="4" t="s">
        <v>1653</v>
      </c>
      <c r="C947" t="s">
        <v>2992</v>
      </c>
    </row>
    <row r="948" spans="1:3" x14ac:dyDescent="0.25">
      <c r="A948" t="s">
        <v>890</v>
      </c>
      <c r="B948" t="s">
        <v>1474</v>
      </c>
      <c r="C948" t="s">
        <v>953</v>
      </c>
    </row>
    <row r="949" spans="1:3" x14ac:dyDescent="0.25">
      <c r="A949" t="s">
        <v>890</v>
      </c>
      <c r="B949" t="s">
        <v>2178</v>
      </c>
      <c r="C949" t="s">
        <v>2991</v>
      </c>
    </row>
    <row r="950" spans="1:3" x14ac:dyDescent="0.25">
      <c r="A950" t="s">
        <v>890</v>
      </c>
      <c r="B950" t="s">
        <v>1391</v>
      </c>
      <c r="C950" t="s">
        <v>953</v>
      </c>
    </row>
    <row r="951" spans="1:3" x14ac:dyDescent="0.25">
      <c r="A951" t="s">
        <v>890</v>
      </c>
      <c r="B951" t="s">
        <v>3004</v>
      </c>
      <c r="C951" t="s">
        <v>3288</v>
      </c>
    </row>
    <row r="952" spans="1:3" x14ac:dyDescent="0.25">
      <c r="A952" t="s">
        <v>890</v>
      </c>
      <c r="B952" s="4" t="s">
        <v>1740</v>
      </c>
      <c r="C952" t="s">
        <v>2992</v>
      </c>
    </row>
    <row r="953" spans="1:3" x14ac:dyDescent="0.25">
      <c r="A953" t="s">
        <v>890</v>
      </c>
      <c r="B953" t="s">
        <v>2292</v>
      </c>
      <c r="C953" t="s">
        <v>2991</v>
      </c>
    </row>
    <row r="954" spans="1:3" x14ac:dyDescent="0.25">
      <c r="A954" t="s">
        <v>890</v>
      </c>
      <c r="B954" s="4" t="s">
        <v>1754</v>
      </c>
      <c r="C954" t="s">
        <v>2992</v>
      </c>
    </row>
    <row r="955" spans="1:3" x14ac:dyDescent="0.25">
      <c r="A955" t="s">
        <v>890</v>
      </c>
      <c r="B955" t="s">
        <v>3233</v>
      </c>
      <c r="C955" t="s">
        <v>3288</v>
      </c>
    </row>
    <row r="956" spans="1:3" x14ac:dyDescent="0.25">
      <c r="A956" t="s">
        <v>890</v>
      </c>
      <c r="B956" t="s">
        <v>2024</v>
      </c>
      <c r="C956" t="s">
        <v>2991</v>
      </c>
    </row>
    <row r="957" spans="1:3" x14ac:dyDescent="0.25">
      <c r="A957" t="s">
        <v>890</v>
      </c>
      <c r="B957" s="4" t="s">
        <v>1633</v>
      </c>
      <c r="C957" t="s">
        <v>2992</v>
      </c>
    </row>
    <row r="958" spans="1:3" x14ac:dyDescent="0.25">
      <c r="A958" t="s">
        <v>890</v>
      </c>
      <c r="B958" t="s">
        <v>3207</v>
      </c>
      <c r="C958" t="s">
        <v>3288</v>
      </c>
    </row>
    <row r="959" spans="1:3" x14ac:dyDescent="0.25">
      <c r="A959" t="s">
        <v>890</v>
      </c>
      <c r="B959" t="s">
        <v>2107</v>
      </c>
      <c r="C959" t="s">
        <v>2991</v>
      </c>
    </row>
    <row r="960" spans="1:3" x14ac:dyDescent="0.25">
      <c r="A960" t="s">
        <v>890</v>
      </c>
      <c r="B960" t="s">
        <v>2099</v>
      </c>
      <c r="C960" t="s">
        <v>2991</v>
      </c>
    </row>
    <row r="961" spans="1:3" x14ac:dyDescent="0.25">
      <c r="A961" t="s">
        <v>890</v>
      </c>
      <c r="B961" s="4" t="s">
        <v>1658</v>
      </c>
      <c r="C961" t="s">
        <v>2992</v>
      </c>
    </row>
    <row r="962" spans="1:3" x14ac:dyDescent="0.25">
      <c r="A962" t="s">
        <v>890</v>
      </c>
      <c r="B962" t="s">
        <v>2257</v>
      </c>
      <c r="C962" t="s">
        <v>2991</v>
      </c>
    </row>
    <row r="963" spans="1:3" x14ac:dyDescent="0.25">
      <c r="A963" t="s">
        <v>890</v>
      </c>
      <c r="B963" t="s">
        <v>1400</v>
      </c>
      <c r="C963" t="s">
        <v>953</v>
      </c>
    </row>
    <row r="964" spans="1:3" x14ac:dyDescent="0.25">
      <c r="A964" t="s">
        <v>890</v>
      </c>
      <c r="B964" t="s">
        <v>1101</v>
      </c>
      <c r="C964" t="s">
        <v>953</v>
      </c>
    </row>
    <row r="965" spans="1:3" x14ac:dyDescent="0.25">
      <c r="A965" t="s">
        <v>890</v>
      </c>
      <c r="B965" t="s">
        <v>2275</v>
      </c>
      <c r="C965" t="s">
        <v>2991</v>
      </c>
    </row>
    <row r="966" spans="1:3" x14ac:dyDescent="0.25">
      <c r="A966" t="s">
        <v>890</v>
      </c>
      <c r="B966" t="s">
        <v>2149</v>
      </c>
      <c r="C966" t="s">
        <v>2991</v>
      </c>
    </row>
    <row r="967" spans="1:3" x14ac:dyDescent="0.25">
      <c r="A967" t="s">
        <v>890</v>
      </c>
      <c r="B967" t="s">
        <v>2265</v>
      </c>
      <c r="C967" t="s">
        <v>2991</v>
      </c>
    </row>
    <row r="968" spans="1:3" x14ac:dyDescent="0.25">
      <c r="A968" t="s">
        <v>890</v>
      </c>
      <c r="B968" s="4" t="s">
        <v>1621</v>
      </c>
      <c r="C968" t="s">
        <v>2992</v>
      </c>
    </row>
    <row r="969" spans="1:3" x14ac:dyDescent="0.25">
      <c r="A969" t="s">
        <v>890</v>
      </c>
      <c r="B969" s="4" t="s">
        <v>1676</v>
      </c>
      <c r="C969" t="s">
        <v>2992</v>
      </c>
    </row>
    <row r="970" spans="1:3" x14ac:dyDescent="0.25">
      <c r="A970" t="s">
        <v>890</v>
      </c>
      <c r="B970" s="4" t="s">
        <v>1692</v>
      </c>
      <c r="C970" t="s">
        <v>2992</v>
      </c>
    </row>
    <row r="971" spans="1:3" x14ac:dyDescent="0.25">
      <c r="A971" t="s">
        <v>890</v>
      </c>
      <c r="B971" t="s">
        <v>3114</v>
      </c>
      <c r="C971" t="s">
        <v>3288</v>
      </c>
    </row>
    <row r="972" spans="1:3" x14ac:dyDescent="0.25">
      <c r="A972" t="s">
        <v>890</v>
      </c>
      <c r="B972" t="s">
        <v>3039</v>
      </c>
      <c r="C972" t="s">
        <v>3288</v>
      </c>
    </row>
    <row r="973" spans="1:3" x14ac:dyDescent="0.25">
      <c r="A973" t="s">
        <v>890</v>
      </c>
      <c r="B973" t="s">
        <v>1300</v>
      </c>
      <c r="C973" t="s">
        <v>953</v>
      </c>
    </row>
    <row r="974" spans="1:3" x14ac:dyDescent="0.25">
      <c r="A974" t="s">
        <v>890</v>
      </c>
      <c r="B974" t="s">
        <v>3009</v>
      </c>
      <c r="C974" t="s">
        <v>3288</v>
      </c>
    </row>
    <row r="975" spans="1:3" x14ac:dyDescent="0.25">
      <c r="A975" t="s">
        <v>890</v>
      </c>
      <c r="B975" t="s">
        <v>2214</v>
      </c>
      <c r="C975" t="s">
        <v>2991</v>
      </c>
    </row>
    <row r="976" spans="1:3" x14ac:dyDescent="0.25">
      <c r="A976" t="s">
        <v>890</v>
      </c>
      <c r="B976" t="s">
        <v>2328</v>
      </c>
      <c r="C976" t="s">
        <v>2991</v>
      </c>
    </row>
    <row r="977" spans="1:3" x14ac:dyDescent="0.25">
      <c r="A977" t="s">
        <v>890</v>
      </c>
      <c r="B977" t="s">
        <v>3127</v>
      </c>
      <c r="C977" t="s">
        <v>3288</v>
      </c>
    </row>
    <row r="978" spans="1:3" x14ac:dyDescent="0.25">
      <c r="A978" t="s">
        <v>890</v>
      </c>
      <c r="B978" t="s">
        <v>3124</v>
      </c>
      <c r="C978" t="s">
        <v>3288</v>
      </c>
    </row>
    <row r="979" spans="1:3" x14ac:dyDescent="0.25">
      <c r="A979" t="s">
        <v>890</v>
      </c>
      <c r="B979" s="4" t="s">
        <v>1721</v>
      </c>
      <c r="C979" t="s">
        <v>2992</v>
      </c>
    </row>
    <row r="980" spans="1:3" x14ac:dyDescent="0.25">
      <c r="A980" t="s">
        <v>890</v>
      </c>
      <c r="B980" t="s">
        <v>1463</v>
      </c>
      <c r="C980" t="s">
        <v>953</v>
      </c>
    </row>
    <row r="981" spans="1:3" x14ac:dyDescent="0.25">
      <c r="A981" t="s">
        <v>890</v>
      </c>
      <c r="B981" t="s">
        <v>1442</v>
      </c>
      <c r="C981" t="s">
        <v>953</v>
      </c>
    </row>
    <row r="982" spans="1:3" x14ac:dyDescent="0.25">
      <c r="A982" t="s">
        <v>890</v>
      </c>
      <c r="B982" t="s">
        <v>3042</v>
      </c>
      <c r="C982" t="s">
        <v>3288</v>
      </c>
    </row>
    <row r="983" spans="1:3" x14ac:dyDescent="0.25">
      <c r="A983" t="s">
        <v>890</v>
      </c>
      <c r="B983" t="s">
        <v>1306</v>
      </c>
      <c r="C983" t="s">
        <v>953</v>
      </c>
    </row>
    <row r="984" spans="1:3" x14ac:dyDescent="0.25">
      <c r="A984" t="s">
        <v>890</v>
      </c>
      <c r="B984" t="s">
        <v>3265</v>
      </c>
      <c r="C984" t="s">
        <v>3288</v>
      </c>
    </row>
    <row r="985" spans="1:3" x14ac:dyDescent="0.25">
      <c r="A985" t="s">
        <v>890</v>
      </c>
      <c r="B985" s="4" t="s">
        <v>1586</v>
      </c>
      <c r="C985" t="s">
        <v>2992</v>
      </c>
    </row>
    <row r="986" spans="1:3" x14ac:dyDescent="0.25">
      <c r="A986" t="s">
        <v>890</v>
      </c>
      <c r="B986" t="s">
        <v>2175</v>
      </c>
      <c r="C986" t="s">
        <v>2991</v>
      </c>
    </row>
    <row r="987" spans="1:3" x14ac:dyDescent="0.25">
      <c r="A987" t="s">
        <v>890</v>
      </c>
      <c r="B987" t="s">
        <v>1371</v>
      </c>
      <c r="C987" t="s">
        <v>953</v>
      </c>
    </row>
    <row r="988" spans="1:3" x14ac:dyDescent="0.25">
      <c r="A988" t="s">
        <v>890</v>
      </c>
      <c r="B988" s="4" t="s">
        <v>1656</v>
      </c>
      <c r="C988" t="s">
        <v>2992</v>
      </c>
    </row>
    <row r="989" spans="1:3" x14ac:dyDescent="0.25">
      <c r="A989" t="s">
        <v>890</v>
      </c>
      <c r="B989" t="s">
        <v>1352</v>
      </c>
      <c r="C989" t="s">
        <v>953</v>
      </c>
    </row>
    <row r="990" spans="1:3" x14ac:dyDescent="0.25">
      <c r="A990" t="s">
        <v>890</v>
      </c>
      <c r="B990" t="s">
        <v>3104</v>
      </c>
      <c r="C990" t="s">
        <v>3288</v>
      </c>
    </row>
    <row r="991" spans="1:3" x14ac:dyDescent="0.25">
      <c r="A991" t="s">
        <v>890</v>
      </c>
      <c r="B991" t="s">
        <v>1928</v>
      </c>
      <c r="C991" t="s">
        <v>2991</v>
      </c>
    </row>
    <row r="992" spans="1:3" x14ac:dyDescent="0.25">
      <c r="A992" t="s">
        <v>890</v>
      </c>
      <c r="B992" s="4" t="s">
        <v>1710</v>
      </c>
      <c r="C992" t="s">
        <v>2992</v>
      </c>
    </row>
    <row r="993" spans="1:3" x14ac:dyDescent="0.25">
      <c r="A993" t="s">
        <v>890</v>
      </c>
      <c r="B993" t="s">
        <v>2351</v>
      </c>
      <c r="C993" t="s">
        <v>2991</v>
      </c>
    </row>
    <row r="994" spans="1:3" x14ac:dyDescent="0.25">
      <c r="A994" t="s">
        <v>890</v>
      </c>
      <c r="B994" s="4" t="s">
        <v>1765</v>
      </c>
      <c r="C994" t="s">
        <v>2992</v>
      </c>
    </row>
    <row r="995" spans="1:3" x14ac:dyDescent="0.25">
      <c r="A995" t="s">
        <v>890</v>
      </c>
      <c r="B995" t="s">
        <v>2375</v>
      </c>
      <c r="C995" t="s">
        <v>2991</v>
      </c>
    </row>
    <row r="996" spans="1:3" x14ac:dyDescent="0.25">
      <c r="A996" t="s">
        <v>890</v>
      </c>
      <c r="B996" t="s">
        <v>3243</v>
      </c>
      <c r="C996" t="s">
        <v>3288</v>
      </c>
    </row>
    <row r="997" spans="1:3" x14ac:dyDescent="0.25">
      <c r="A997" t="s">
        <v>890</v>
      </c>
      <c r="B997" t="s">
        <v>3230</v>
      </c>
      <c r="C997" t="s">
        <v>3288</v>
      </c>
    </row>
    <row r="998" spans="1:3" x14ac:dyDescent="0.25">
      <c r="A998" t="s">
        <v>890</v>
      </c>
      <c r="B998" t="s">
        <v>3112</v>
      </c>
      <c r="C998" t="s">
        <v>3288</v>
      </c>
    </row>
    <row r="999" spans="1:3" x14ac:dyDescent="0.25">
      <c r="A999" t="s">
        <v>890</v>
      </c>
      <c r="B999" t="s">
        <v>3185</v>
      </c>
      <c r="C999" t="s">
        <v>3288</v>
      </c>
    </row>
    <row r="1000" spans="1:3" x14ac:dyDescent="0.25">
      <c r="A1000" t="s">
        <v>890</v>
      </c>
      <c r="B1000" t="s">
        <v>1447</v>
      </c>
      <c r="C1000" t="s">
        <v>953</v>
      </c>
    </row>
    <row r="1001" spans="1:3" x14ac:dyDescent="0.25">
      <c r="A1001" t="s">
        <v>890</v>
      </c>
      <c r="B1001" s="4" t="s">
        <v>1630</v>
      </c>
      <c r="C1001" t="s">
        <v>2992</v>
      </c>
    </row>
    <row r="1002" spans="1:3" x14ac:dyDescent="0.25">
      <c r="A1002" t="s">
        <v>890</v>
      </c>
      <c r="B1002" t="s">
        <v>3108</v>
      </c>
      <c r="C1002" t="s">
        <v>3288</v>
      </c>
    </row>
    <row r="1003" spans="1:3" x14ac:dyDescent="0.25">
      <c r="A1003" t="s">
        <v>890</v>
      </c>
      <c r="B1003" t="s">
        <v>1252</v>
      </c>
      <c r="C1003" t="s">
        <v>953</v>
      </c>
    </row>
    <row r="1004" spans="1:3" x14ac:dyDescent="0.25">
      <c r="A1004" t="s">
        <v>890</v>
      </c>
      <c r="B1004" t="s">
        <v>1418</v>
      </c>
      <c r="C1004" t="s">
        <v>953</v>
      </c>
    </row>
    <row r="1005" spans="1:3" x14ac:dyDescent="0.25">
      <c r="A1005" t="s">
        <v>890</v>
      </c>
      <c r="B1005" t="s">
        <v>1867</v>
      </c>
      <c r="C1005" t="s">
        <v>2991</v>
      </c>
    </row>
    <row r="1006" spans="1:3" x14ac:dyDescent="0.25">
      <c r="A1006" t="s">
        <v>890</v>
      </c>
      <c r="B1006" t="s">
        <v>1948</v>
      </c>
      <c r="C1006" t="s">
        <v>2991</v>
      </c>
    </row>
    <row r="1007" spans="1:3" x14ac:dyDescent="0.25">
      <c r="A1007" t="s">
        <v>890</v>
      </c>
      <c r="B1007" t="s">
        <v>3283</v>
      </c>
      <c r="C1007" t="s">
        <v>3288</v>
      </c>
    </row>
    <row r="1008" spans="1:3" x14ac:dyDescent="0.25">
      <c r="A1008" t="s">
        <v>890</v>
      </c>
      <c r="B1008" t="s">
        <v>2443</v>
      </c>
      <c r="C1008" t="s">
        <v>2991</v>
      </c>
    </row>
    <row r="1009" spans="1:3" x14ac:dyDescent="0.25">
      <c r="A1009" t="s">
        <v>890</v>
      </c>
      <c r="B1009" t="s">
        <v>3060</v>
      </c>
      <c r="C1009" t="s">
        <v>3288</v>
      </c>
    </row>
    <row r="1010" spans="1:3" x14ac:dyDescent="0.25">
      <c r="A1010" t="s">
        <v>890</v>
      </c>
      <c r="B1010" t="s">
        <v>1499</v>
      </c>
      <c r="C1010" t="s">
        <v>953</v>
      </c>
    </row>
    <row r="1011" spans="1:3" x14ac:dyDescent="0.25">
      <c r="A1011" t="s">
        <v>890</v>
      </c>
      <c r="B1011" t="s">
        <v>3146</v>
      </c>
      <c r="C1011" t="s">
        <v>3288</v>
      </c>
    </row>
    <row r="1012" spans="1:3" x14ac:dyDescent="0.25">
      <c r="A1012" t="s">
        <v>890</v>
      </c>
      <c r="B1012" t="s">
        <v>3095</v>
      </c>
      <c r="C1012" t="s">
        <v>3288</v>
      </c>
    </row>
    <row r="1013" spans="1:3" x14ac:dyDescent="0.25">
      <c r="A1013" t="s">
        <v>890</v>
      </c>
      <c r="B1013" t="s">
        <v>3073</v>
      </c>
      <c r="C1013" t="s">
        <v>3288</v>
      </c>
    </row>
    <row r="1014" spans="1:3" x14ac:dyDescent="0.25">
      <c r="A1014" t="s">
        <v>890</v>
      </c>
      <c r="B1014" t="s">
        <v>1452</v>
      </c>
      <c r="C1014" t="s">
        <v>953</v>
      </c>
    </row>
    <row r="1015" spans="1:3" x14ac:dyDescent="0.25">
      <c r="A1015" t="s">
        <v>890</v>
      </c>
      <c r="B1015" t="s">
        <v>1187</v>
      </c>
      <c r="C1015" t="s">
        <v>953</v>
      </c>
    </row>
    <row r="1016" spans="1:3" x14ac:dyDescent="0.25">
      <c r="A1016" t="s">
        <v>890</v>
      </c>
      <c r="B1016" s="4" t="s">
        <v>1636</v>
      </c>
      <c r="C1016" t="s">
        <v>2992</v>
      </c>
    </row>
    <row r="1017" spans="1:3" x14ac:dyDescent="0.25">
      <c r="A1017" t="s">
        <v>890</v>
      </c>
      <c r="B1017" t="s">
        <v>3047</v>
      </c>
      <c r="C1017" t="s">
        <v>3288</v>
      </c>
    </row>
    <row r="1018" spans="1:3" x14ac:dyDescent="0.25">
      <c r="A1018" t="s">
        <v>890</v>
      </c>
      <c r="B1018" t="s">
        <v>1327</v>
      </c>
      <c r="C1018" t="s">
        <v>953</v>
      </c>
    </row>
    <row r="1019" spans="1:3" x14ac:dyDescent="0.25">
      <c r="A1019" t="s">
        <v>890</v>
      </c>
      <c r="B1019" t="s">
        <v>3193</v>
      </c>
      <c r="C1019" t="s">
        <v>3288</v>
      </c>
    </row>
    <row r="1020" spans="1:3" x14ac:dyDescent="0.25">
      <c r="A1020" t="s">
        <v>890</v>
      </c>
      <c r="B1020" t="s">
        <v>1453</v>
      </c>
      <c r="C1020" t="s">
        <v>953</v>
      </c>
    </row>
    <row r="1021" spans="1:3" x14ac:dyDescent="0.25">
      <c r="A1021" t="s">
        <v>890</v>
      </c>
      <c r="B1021" t="s">
        <v>2218</v>
      </c>
      <c r="C1021" t="s">
        <v>2991</v>
      </c>
    </row>
    <row r="1022" spans="1:3" x14ac:dyDescent="0.25">
      <c r="A1022" t="s">
        <v>890</v>
      </c>
      <c r="B1022" t="s">
        <v>3035</v>
      </c>
      <c r="C1022" t="s">
        <v>3288</v>
      </c>
    </row>
    <row r="1023" spans="1:3" x14ac:dyDescent="0.25">
      <c r="A1023" t="s">
        <v>890</v>
      </c>
      <c r="B1023" t="s">
        <v>1847</v>
      </c>
      <c r="C1023" t="s">
        <v>2991</v>
      </c>
    </row>
    <row r="1024" spans="1:3" x14ac:dyDescent="0.25">
      <c r="A1024" t="s">
        <v>890</v>
      </c>
      <c r="B1024" t="s">
        <v>3139</v>
      </c>
      <c r="C1024" t="s">
        <v>3288</v>
      </c>
    </row>
    <row r="1025" spans="1:3" x14ac:dyDescent="0.25">
      <c r="A1025" t="s">
        <v>890</v>
      </c>
      <c r="B1025" t="s">
        <v>1511</v>
      </c>
      <c r="C1025" t="s">
        <v>953</v>
      </c>
    </row>
    <row r="1026" spans="1:3" x14ac:dyDescent="0.25">
      <c r="A1026" t="s">
        <v>890</v>
      </c>
      <c r="B1026" t="s">
        <v>2213</v>
      </c>
      <c r="C1026" t="s">
        <v>2991</v>
      </c>
    </row>
    <row r="1027" spans="1:3" x14ac:dyDescent="0.25">
      <c r="A1027" t="s">
        <v>890</v>
      </c>
      <c r="B1027" s="4" t="s">
        <v>1570</v>
      </c>
      <c r="C1027" t="s">
        <v>2992</v>
      </c>
    </row>
    <row r="1028" spans="1:3" x14ac:dyDescent="0.25">
      <c r="A1028" t="s">
        <v>890</v>
      </c>
      <c r="B1028" t="s">
        <v>1932</v>
      </c>
      <c r="C1028" t="s">
        <v>2991</v>
      </c>
    </row>
    <row r="1029" spans="1:3" x14ac:dyDescent="0.25">
      <c r="A1029" t="s">
        <v>890</v>
      </c>
      <c r="B1029" t="s">
        <v>3052</v>
      </c>
      <c r="C1029" t="s">
        <v>3288</v>
      </c>
    </row>
    <row r="1030" spans="1:3" x14ac:dyDescent="0.25">
      <c r="A1030" t="s">
        <v>890</v>
      </c>
      <c r="B1030" s="4" t="s">
        <v>1590</v>
      </c>
      <c r="C1030" t="s">
        <v>2992</v>
      </c>
    </row>
    <row r="1031" spans="1:3" x14ac:dyDescent="0.25">
      <c r="A1031" t="s">
        <v>890</v>
      </c>
      <c r="B1031" s="4" t="s">
        <v>1681</v>
      </c>
      <c r="C1031" t="s">
        <v>2992</v>
      </c>
    </row>
    <row r="1032" spans="1:3" x14ac:dyDescent="0.25">
      <c r="A1032" t="s">
        <v>890</v>
      </c>
      <c r="B1032" t="s">
        <v>3256</v>
      </c>
      <c r="C1032" t="s">
        <v>3288</v>
      </c>
    </row>
    <row r="1033" spans="1:3" x14ac:dyDescent="0.25">
      <c r="A1033" t="s">
        <v>890</v>
      </c>
      <c r="B1033" t="s">
        <v>1199</v>
      </c>
      <c r="C1033" t="s">
        <v>953</v>
      </c>
    </row>
    <row r="1034" spans="1:3" x14ac:dyDescent="0.25">
      <c r="A1034" t="s">
        <v>890</v>
      </c>
      <c r="B1034" t="s">
        <v>3032</v>
      </c>
      <c r="C1034" t="s">
        <v>3288</v>
      </c>
    </row>
    <row r="1035" spans="1:3" x14ac:dyDescent="0.25">
      <c r="A1035" t="s">
        <v>890</v>
      </c>
      <c r="B1035" t="s">
        <v>1440</v>
      </c>
      <c r="C1035" t="s">
        <v>953</v>
      </c>
    </row>
    <row r="1036" spans="1:3" x14ac:dyDescent="0.25">
      <c r="A1036" t="s">
        <v>890</v>
      </c>
      <c r="B1036" t="s">
        <v>1284</v>
      </c>
      <c r="C1036" t="s">
        <v>953</v>
      </c>
    </row>
    <row r="1037" spans="1:3" x14ac:dyDescent="0.25">
      <c r="A1037" t="s">
        <v>890</v>
      </c>
      <c r="B1037" s="4" t="s">
        <v>1739</v>
      </c>
      <c r="C1037" t="s">
        <v>2992</v>
      </c>
    </row>
    <row r="1038" spans="1:3" x14ac:dyDescent="0.25">
      <c r="A1038" t="s">
        <v>890</v>
      </c>
      <c r="B1038" s="4" t="s">
        <v>1777</v>
      </c>
      <c r="C1038" t="s">
        <v>2992</v>
      </c>
    </row>
    <row r="1039" spans="1:3" x14ac:dyDescent="0.25">
      <c r="A1039" t="s">
        <v>890</v>
      </c>
      <c r="B1039" s="4" t="s">
        <v>1722</v>
      </c>
      <c r="C1039" t="s">
        <v>2992</v>
      </c>
    </row>
    <row r="1040" spans="1:3" x14ac:dyDescent="0.25">
      <c r="A1040" t="s">
        <v>890</v>
      </c>
      <c r="B1040" t="s">
        <v>3080</v>
      </c>
      <c r="C1040" t="s">
        <v>3288</v>
      </c>
    </row>
    <row r="1041" spans="1:3" x14ac:dyDescent="0.25">
      <c r="A1041" t="s">
        <v>890</v>
      </c>
      <c r="B1041" t="s">
        <v>3246</v>
      </c>
      <c r="C1041" t="s">
        <v>3288</v>
      </c>
    </row>
    <row r="1042" spans="1:3" x14ac:dyDescent="0.25">
      <c r="A1042" t="s">
        <v>890</v>
      </c>
      <c r="B1042" t="s">
        <v>1399</v>
      </c>
      <c r="C1042" t="s">
        <v>953</v>
      </c>
    </row>
    <row r="1043" spans="1:3" x14ac:dyDescent="0.25">
      <c r="A1043" t="s">
        <v>890</v>
      </c>
      <c r="B1043" t="s">
        <v>2335</v>
      </c>
      <c r="C1043" t="s">
        <v>2991</v>
      </c>
    </row>
    <row r="1044" spans="1:3" x14ac:dyDescent="0.25">
      <c r="A1044" t="s">
        <v>890</v>
      </c>
      <c r="B1044" t="s">
        <v>1443</v>
      </c>
      <c r="C1044" t="s">
        <v>953</v>
      </c>
    </row>
    <row r="1045" spans="1:3" x14ac:dyDescent="0.25">
      <c r="A1045" t="s">
        <v>890</v>
      </c>
      <c r="B1045" t="s">
        <v>3116</v>
      </c>
      <c r="C1045" t="s">
        <v>3288</v>
      </c>
    </row>
    <row r="1046" spans="1:3" x14ac:dyDescent="0.25">
      <c r="A1046" t="s">
        <v>890</v>
      </c>
      <c r="B1046" t="s">
        <v>3222</v>
      </c>
      <c r="C1046" t="s">
        <v>3288</v>
      </c>
    </row>
    <row r="1047" spans="1:3" x14ac:dyDescent="0.25">
      <c r="A1047" t="s">
        <v>890</v>
      </c>
      <c r="B1047" t="s">
        <v>2185</v>
      </c>
      <c r="C1047" t="s">
        <v>2991</v>
      </c>
    </row>
    <row r="1048" spans="1:3" x14ac:dyDescent="0.25">
      <c r="A1048" t="s">
        <v>890</v>
      </c>
      <c r="B1048" s="4" t="s">
        <v>1615</v>
      </c>
      <c r="C1048" t="s">
        <v>2992</v>
      </c>
    </row>
    <row r="1049" spans="1:3" x14ac:dyDescent="0.25">
      <c r="A1049" t="s">
        <v>890</v>
      </c>
      <c r="B1049" s="4" t="s">
        <v>1584</v>
      </c>
      <c r="C1049" t="s">
        <v>2992</v>
      </c>
    </row>
    <row r="1050" spans="1:3" x14ac:dyDescent="0.25">
      <c r="A1050" t="s">
        <v>890</v>
      </c>
      <c r="B1050" s="4" t="s">
        <v>1694</v>
      </c>
      <c r="C1050" t="s">
        <v>2992</v>
      </c>
    </row>
    <row r="1051" spans="1:3" x14ac:dyDescent="0.25">
      <c r="A1051" t="s">
        <v>890</v>
      </c>
      <c r="B1051" t="s">
        <v>2142</v>
      </c>
      <c r="C1051" t="s">
        <v>2991</v>
      </c>
    </row>
    <row r="1052" spans="1:3" x14ac:dyDescent="0.25">
      <c r="A1052" t="s">
        <v>890</v>
      </c>
      <c r="B1052" t="s">
        <v>1033</v>
      </c>
      <c r="C1052" t="s">
        <v>953</v>
      </c>
    </row>
    <row r="1053" spans="1:3" x14ac:dyDescent="0.25">
      <c r="A1053" t="s">
        <v>890</v>
      </c>
      <c r="B1053" t="s">
        <v>1184</v>
      </c>
      <c r="C1053" t="s">
        <v>953</v>
      </c>
    </row>
    <row r="1054" spans="1:3" x14ac:dyDescent="0.25">
      <c r="A1054" t="s">
        <v>890</v>
      </c>
      <c r="B1054" t="s">
        <v>1063</v>
      </c>
      <c r="C1054" t="s">
        <v>953</v>
      </c>
    </row>
    <row r="1055" spans="1:3" x14ac:dyDescent="0.25">
      <c r="A1055" t="s">
        <v>890</v>
      </c>
      <c r="B1055" t="s">
        <v>1392</v>
      </c>
      <c r="C1055" t="s">
        <v>953</v>
      </c>
    </row>
    <row r="1056" spans="1:3" x14ac:dyDescent="0.25">
      <c r="A1056" t="s">
        <v>890</v>
      </c>
      <c r="B1056" s="4" t="s">
        <v>1583</v>
      </c>
      <c r="C1056" t="s">
        <v>2992</v>
      </c>
    </row>
    <row r="1057" spans="1:3" x14ac:dyDescent="0.25">
      <c r="A1057" t="s">
        <v>890</v>
      </c>
      <c r="B1057" s="4" t="s">
        <v>1677</v>
      </c>
      <c r="C1057" t="s">
        <v>2992</v>
      </c>
    </row>
    <row r="1058" spans="1:3" x14ac:dyDescent="0.25">
      <c r="A1058" t="s">
        <v>890</v>
      </c>
      <c r="B1058" t="s">
        <v>3177</v>
      </c>
      <c r="C1058" t="s">
        <v>3288</v>
      </c>
    </row>
    <row r="1059" spans="1:3" x14ac:dyDescent="0.25">
      <c r="A1059" t="s">
        <v>890</v>
      </c>
      <c r="B1059" t="s">
        <v>1090</v>
      </c>
      <c r="C1059" t="s">
        <v>953</v>
      </c>
    </row>
    <row r="1060" spans="1:3" x14ac:dyDescent="0.25">
      <c r="A1060" t="s">
        <v>890</v>
      </c>
      <c r="B1060" t="s">
        <v>3093</v>
      </c>
      <c r="C1060" t="s">
        <v>3288</v>
      </c>
    </row>
    <row r="1061" spans="1:3" x14ac:dyDescent="0.25">
      <c r="A1061" t="s">
        <v>890</v>
      </c>
      <c r="B1061" s="4" t="s">
        <v>1683</v>
      </c>
      <c r="C1061" t="s">
        <v>2992</v>
      </c>
    </row>
    <row r="1062" spans="1:3" x14ac:dyDescent="0.25">
      <c r="A1062" t="s">
        <v>890</v>
      </c>
      <c r="B1062" t="s">
        <v>3098</v>
      </c>
      <c r="C1062" t="s">
        <v>3288</v>
      </c>
    </row>
    <row r="1063" spans="1:3" x14ac:dyDescent="0.25">
      <c r="A1063" t="s">
        <v>890</v>
      </c>
      <c r="B1063" t="s">
        <v>1409</v>
      </c>
      <c r="C1063" t="s">
        <v>953</v>
      </c>
    </row>
    <row r="1064" spans="1:3" x14ac:dyDescent="0.25">
      <c r="A1064" t="s">
        <v>890</v>
      </c>
      <c r="B1064" t="s">
        <v>1373</v>
      </c>
      <c r="C1064" t="s">
        <v>953</v>
      </c>
    </row>
    <row r="1065" spans="1:3" x14ac:dyDescent="0.25">
      <c r="A1065" t="s">
        <v>890</v>
      </c>
      <c r="B1065" t="s">
        <v>1098</v>
      </c>
      <c r="C1065" t="s">
        <v>953</v>
      </c>
    </row>
    <row r="1066" spans="1:3" x14ac:dyDescent="0.25">
      <c r="A1066" t="s">
        <v>890</v>
      </c>
      <c r="B1066" t="s">
        <v>1473</v>
      </c>
      <c r="C1066" t="s">
        <v>953</v>
      </c>
    </row>
    <row r="1067" spans="1:3" x14ac:dyDescent="0.25">
      <c r="A1067" t="s">
        <v>890</v>
      </c>
      <c r="B1067" t="s">
        <v>2332</v>
      </c>
      <c r="C1067" t="s">
        <v>2991</v>
      </c>
    </row>
    <row r="1068" spans="1:3" x14ac:dyDescent="0.25">
      <c r="A1068" t="s">
        <v>890</v>
      </c>
      <c r="B1068" t="s">
        <v>1929</v>
      </c>
      <c r="C1068" t="s">
        <v>2991</v>
      </c>
    </row>
    <row r="1069" spans="1:3" x14ac:dyDescent="0.25">
      <c r="A1069" t="s">
        <v>890</v>
      </c>
      <c r="B1069" t="s">
        <v>3110</v>
      </c>
      <c r="C1069" t="s">
        <v>3288</v>
      </c>
    </row>
    <row r="1070" spans="1:3" x14ac:dyDescent="0.25">
      <c r="A1070" t="s">
        <v>890</v>
      </c>
      <c r="B1070" t="s">
        <v>2273</v>
      </c>
      <c r="C1070" t="s">
        <v>2991</v>
      </c>
    </row>
    <row r="1071" spans="1:3" x14ac:dyDescent="0.25">
      <c r="A1071" t="s">
        <v>890</v>
      </c>
      <c r="B1071" t="s">
        <v>1336</v>
      </c>
      <c r="C1071" t="s">
        <v>953</v>
      </c>
    </row>
    <row r="1072" spans="1:3" x14ac:dyDescent="0.25">
      <c r="A1072" t="s">
        <v>890</v>
      </c>
      <c r="B1072" s="4" t="s">
        <v>1793</v>
      </c>
      <c r="C1072" t="s">
        <v>2992</v>
      </c>
    </row>
    <row r="1073" spans="1:3" x14ac:dyDescent="0.25">
      <c r="A1073" t="s">
        <v>890</v>
      </c>
      <c r="B1073" s="4" t="s">
        <v>1804</v>
      </c>
      <c r="C1073" t="s">
        <v>2992</v>
      </c>
    </row>
    <row r="1074" spans="1:3" x14ac:dyDescent="0.25">
      <c r="A1074" t="s">
        <v>890</v>
      </c>
      <c r="B1074" s="4" t="s">
        <v>1612</v>
      </c>
      <c r="C1074" t="s">
        <v>2992</v>
      </c>
    </row>
    <row r="1075" spans="1:3" x14ac:dyDescent="0.25">
      <c r="A1075" t="s">
        <v>890</v>
      </c>
      <c r="B1075" t="s">
        <v>3027</v>
      </c>
      <c r="C1075" t="s">
        <v>3288</v>
      </c>
    </row>
    <row r="1076" spans="1:3" x14ac:dyDescent="0.25">
      <c r="A1076" t="s">
        <v>890</v>
      </c>
      <c r="B1076" t="s">
        <v>2425</v>
      </c>
      <c r="C1076" t="s">
        <v>2991</v>
      </c>
    </row>
    <row r="1077" spans="1:3" x14ac:dyDescent="0.25">
      <c r="A1077" t="s">
        <v>890</v>
      </c>
      <c r="B1077" t="s">
        <v>2246</v>
      </c>
      <c r="C1077" t="s">
        <v>2991</v>
      </c>
    </row>
    <row r="1078" spans="1:3" x14ac:dyDescent="0.25">
      <c r="A1078" t="s">
        <v>890</v>
      </c>
      <c r="B1078" t="s">
        <v>1397</v>
      </c>
      <c r="C1078" t="s">
        <v>953</v>
      </c>
    </row>
    <row r="1079" spans="1:3" x14ac:dyDescent="0.25">
      <c r="A1079" t="s">
        <v>890</v>
      </c>
      <c r="B1079" t="s">
        <v>3089</v>
      </c>
      <c r="C1079" t="s">
        <v>3288</v>
      </c>
    </row>
    <row r="1080" spans="1:3" x14ac:dyDescent="0.25">
      <c r="A1080" t="s">
        <v>890</v>
      </c>
      <c r="B1080" t="s">
        <v>2302</v>
      </c>
      <c r="C1080" t="s">
        <v>2991</v>
      </c>
    </row>
    <row r="1081" spans="1:3" x14ac:dyDescent="0.25">
      <c r="A1081" t="s">
        <v>890</v>
      </c>
      <c r="B1081" t="s">
        <v>3160</v>
      </c>
      <c r="C1081" t="s">
        <v>3288</v>
      </c>
    </row>
    <row r="1082" spans="1:3" x14ac:dyDescent="0.25">
      <c r="A1082" t="s">
        <v>890</v>
      </c>
      <c r="B1082" t="s">
        <v>3087</v>
      </c>
      <c r="C1082" t="s">
        <v>3288</v>
      </c>
    </row>
    <row r="1083" spans="1:3" x14ac:dyDescent="0.25">
      <c r="A1083" t="s">
        <v>890</v>
      </c>
      <c r="B1083" t="s">
        <v>1476</v>
      </c>
      <c r="C1083" t="s">
        <v>953</v>
      </c>
    </row>
    <row r="1084" spans="1:3" x14ac:dyDescent="0.25">
      <c r="A1084" t="s">
        <v>890</v>
      </c>
      <c r="B1084" t="s">
        <v>3173</v>
      </c>
      <c r="C1084" t="s">
        <v>3288</v>
      </c>
    </row>
    <row r="1085" spans="1:3" x14ac:dyDescent="0.25">
      <c r="A1085" t="s">
        <v>890</v>
      </c>
      <c r="B1085" t="s">
        <v>1431</v>
      </c>
      <c r="C1085" t="s">
        <v>953</v>
      </c>
    </row>
    <row r="1086" spans="1:3" x14ac:dyDescent="0.25">
      <c r="A1086" t="s">
        <v>890</v>
      </c>
      <c r="B1086" t="s">
        <v>3221</v>
      </c>
      <c r="C1086" t="s">
        <v>3288</v>
      </c>
    </row>
    <row r="1087" spans="1:3" x14ac:dyDescent="0.25">
      <c r="A1087" t="s">
        <v>890</v>
      </c>
      <c r="B1087" t="s">
        <v>3029</v>
      </c>
      <c r="C1087" t="s">
        <v>3288</v>
      </c>
    </row>
    <row r="1088" spans="1:3" x14ac:dyDescent="0.25">
      <c r="A1088" t="s">
        <v>890</v>
      </c>
      <c r="B1088" t="s">
        <v>2280</v>
      </c>
      <c r="C1088" t="s">
        <v>2991</v>
      </c>
    </row>
    <row r="1089" spans="1:3" x14ac:dyDescent="0.25">
      <c r="A1089" t="s">
        <v>890</v>
      </c>
      <c r="B1089" s="4" t="s">
        <v>1581</v>
      </c>
      <c r="C1089" t="s">
        <v>2992</v>
      </c>
    </row>
    <row r="1090" spans="1:3" x14ac:dyDescent="0.25">
      <c r="A1090" t="s">
        <v>890</v>
      </c>
      <c r="B1090" t="s">
        <v>1383</v>
      </c>
      <c r="C1090" t="s">
        <v>953</v>
      </c>
    </row>
    <row r="1091" spans="1:3" x14ac:dyDescent="0.25">
      <c r="A1091" t="s">
        <v>890</v>
      </c>
      <c r="B1091" s="4" t="s">
        <v>1755</v>
      </c>
      <c r="C1091" t="s">
        <v>2992</v>
      </c>
    </row>
    <row r="1092" spans="1:3" x14ac:dyDescent="0.25">
      <c r="A1092" t="s">
        <v>890</v>
      </c>
      <c r="B1092" s="4" t="s">
        <v>1792</v>
      </c>
      <c r="C1092" t="s">
        <v>2992</v>
      </c>
    </row>
    <row r="1093" spans="1:3" x14ac:dyDescent="0.25">
      <c r="A1093" t="s">
        <v>890</v>
      </c>
      <c r="B1093" s="4" t="s">
        <v>1640</v>
      </c>
      <c r="C1093" t="s">
        <v>2992</v>
      </c>
    </row>
    <row r="1094" spans="1:3" x14ac:dyDescent="0.25">
      <c r="A1094" t="s">
        <v>890</v>
      </c>
      <c r="B1094" s="4" t="s">
        <v>1734</v>
      </c>
      <c r="C1094" t="s">
        <v>2992</v>
      </c>
    </row>
    <row r="1095" spans="1:3" x14ac:dyDescent="0.25">
      <c r="A1095" t="s">
        <v>890</v>
      </c>
      <c r="B1095" s="4" t="s">
        <v>1551</v>
      </c>
      <c r="C1095" t="s">
        <v>2992</v>
      </c>
    </row>
    <row r="1096" spans="1:3" x14ac:dyDescent="0.25">
      <c r="A1096" t="s">
        <v>890</v>
      </c>
      <c r="B1096" t="s">
        <v>2239</v>
      </c>
      <c r="C1096" t="s">
        <v>2991</v>
      </c>
    </row>
    <row r="1097" spans="1:3" x14ac:dyDescent="0.25">
      <c r="A1097" t="s">
        <v>890</v>
      </c>
      <c r="B1097" t="s">
        <v>1427</v>
      </c>
      <c r="C1097" t="s">
        <v>953</v>
      </c>
    </row>
    <row r="1098" spans="1:3" x14ac:dyDescent="0.25">
      <c r="A1098" t="s">
        <v>890</v>
      </c>
      <c r="B1098" t="s">
        <v>1393</v>
      </c>
      <c r="C1098" t="s">
        <v>953</v>
      </c>
    </row>
    <row r="1099" spans="1:3" x14ac:dyDescent="0.25">
      <c r="A1099" t="s">
        <v>890</v>
      </c>
      <c r="B1099" t="s">
        <v>3174</v>
      </c>
      <c r="C1099" t="s">
        <v>3288</v>
      </c>
    </row>
    <row r="1100" spans="1:3" x14ac:dyDescent="0.25">
      <c r="A1100" t="s">
        <v>890</v>
      </c>
      <c r="B1100" t="s">
        <v>1003</v>
      </c>
      <c r="C1100" t="s">
        <v>953</v>
      </c>
    </row>
    <row r="1101" spans="1:3" x14ac:dyDescent="0.25">
      <c r="A1101" t="s">
        <v>890</v>
      </c>
      <c r="B1101" t="s">
        <v>3090</v>
      </c>
      <c r="C1101" t="s">
        <v>3288</v>
      </c>
    </row>
    <row r="1102" spans="1:3" x14ac:dyDescent="0.25">
      <c r="A1102" t="s">
        <v>890</v>
      </c>
      <c r="B1102" s="4" t="s">
        <v>1608</v>
      </c>
      <c r="C1102" t="s">
        <v>2992</v>
      </c>
    </row>
    <row r="1103" spans="1:3" x14ac:dyDescent="0.25">
      <c r="A1103" t="s">
        <v>890</v>
      </c>
      <c r="B1103" t="s">
        <v>2126</v>
      </c>
      <c r="C1103" t="s">
        <v>2991</v>
      </c>
    </row>
    <row r="1104" spans="1:3" x14ac:dyDescent="0.25">
      <c r="A1104" t="s">
        <v>890</v>
      </c>
      <c r="B1104" t="s">
        <v>2164</v>
      </c>
      <c r="C1104" t="s">
        <v>2991</v>
      </c>
    </row>
    <row r="1105" spans="1:3" x14ac:dyDescent="0.25">
      <c r="A1105" t="s">
        <v>890</v>
      </c>
      <c r="B1105" s="4" t="s">
        <v>1659</v>
      </c>
      <c r="C1105" t="s">
        <v>2992</v>
      </c>
    </row>
    <row r="1106" spans="1:3" x14ac:dyDescent="0.25">
      <c r="A1106" t="s">
        <v>890</v>
      </c>
      <c r="B1106" t="s">
        <v>2391</v>
      </c>
      <c r="C1106" t="s">
        <v>2991</v>
      </c>
    </row>
    <row r="1107" spans="1:3" x14ac:dyDescent="0.25">
      <c r="A1107" t="s">
        <v>890</v>
      </c>
      <c r="B1107" t="s">
        <v>1425</v>
      </c>
      <c r="C1107" t="s">
        <v>953</v>
      </c>
    </row>
    <row r="1108" spans="1:3" x14ac:dyDescent="0.25">
      <c r="A1108" t="s">
        <v>890</v>
      </c>
      <c r="B1108" t="s">
        <v>3245</v>
      </c>
      <c r="C1108" t="s">
        <v>3288</v>
      </c>
    </row>
    <row r="1109" spans="1:3" x14ac:dyDescent="0.25">
      <c r="A1109" t="s">
        <v>890</v>
      </c>
      <c r="B1109" t="s">
        <v>1052</v>
      </c>
      <c r="C1109" t="s">
        <v>953</v>
      </c>
    </row>
    <row r="1110" spans="1:3" x14ac:dyDescent="0.25">
      <c r="A1110" t="s">
        <v>890</v>
      </c>
      <c r="B1110" t="s">
        <v>3284</v>
      </c>
      <c r="C1110" t="s">
        <v>3288</v>
      </c>
    </row>
    <row r="1111" spans="1:3" x14ac:dyDescent="0.25">
      <c r="A1111" t="s">
        <v>890</v>
      </c>
      <c r="B1111" t="s">
        <v>2438</v>
      </c>
      <c r="C1111" t="s">
        <v>2991</v>
      </c>
    </row>
    <row r="1112" spans="1:3" x14ac:dyDescent="0.25">
      <c r="A1112" t="s">
        <v>890</v>
      </c>
      <c r="B1112" t="s">
        <v>1317</v>
      </c>
      <c r="C1112" t="s">
        <v>953</v>
      </c>
    </row>
    <row r="1113" spans="1:3" x14ac:dyDescent="0.25">
      <c r="A1113" t="s">
        <v>890</v>
      </c>
      <c r="B1113" t="s">
        <v>1214</v>
      </c>
      <c r="C1113" t="s">
        <v>953</v>
      </c>
    </row>
    <row r="1114" spans="1:3" x14ac:dyDescent="0.25">
      <c r="A1114" t="s">
        <v>890</v>
      </c>
      <c r="B1114" t="s">
        <v>1304</v>
      </c>
      <c r="C1114" t="s">
        <v>953</v>
      </c>
    </row>
    <row r="1115" spans="1:3" x14ac:dyDescent="0.25">
      <c r="A1115" t="s">
        <v>890</v>
      </c>
      <c r="B1115" t="s">
        <v>1377</v>
      </c>
      <c r="C1115" t="s">
        <v>953</v>
      </c>
    </row>
    <row r="1116" spans="1:3" x14ac:dyDescent="0.25">
      <c r="A1116" t="s">
        <v>890</v>
      </c>
      <c r="B1116" t="s">
        <v>2086</v>
      </c>
      <c r="C1116" t="s">
        <v>2991</v>
      </c>
    </row>
    <row r="1117" spans="1:3" x14ac:dyDescent="0.25">
      <c r="A1117" t="s">
        <v>890</v>
      </c>
      <c r="B1117" s="4" t="s">
        <v>1579</v>
      </c>
      <c r="C1117" t="s">
        <v>2992</v>
      </c>
    </row>
    <row r="1118" spans="1:3" x14ac:dyDescent="0.25">
      <c r="A1118" t="s">
        <v>890</v>
      </c>
      <c r="B1118" t="s">
        <v>3041</v>
      </c>
      <c r="C1118" t="s">
        <v>3288</v>
      </c>
    </row>
    <row r="1119" spans="1:3" x14ac:dyDescent="0.25">
      <c r="A1119" t="s">
        <v>890</v>
      </c>
      <c r="B1119" t="s">
        <v>1486</v>
      </c>
      <c r="C1119" t="s">
        <v>953</v>
      </c>
    </row>
    <row r="1120" spans="1:3" x14ac:dyDescent="0.25">
      <c r="A1120" t="s">
        <v>890</v>
      </c>
      <c r="B1120" t="s">
        <v>1322</v>
      </c>
      <c r="C1120" t="s">
        <v>953</v>
      </c>
    </row>
    <row r="1121" spans="1:3" x14ac:dyDescent="0.25">
      <c r="A1121" t="s">
        <v>890</v>
      </c>
      <c r="B1121" t="s">
        <v>3157</v>
      </c>
      <c r="C1121" t="s">
        <v>3288</v>
      </c>
    </row>
    <row r="1122" spans="1:3" x14ac:dyDescent="0.25">
      <c r="A1122" t="s">
        <v>890</v>
      </c>
      <c r="B1122" t="s">
        <v>3030</v>
      </c>
      <c r="C1122" t="s">
        <v>3288</v>
      </c>
    </row>
    <row r="1123" spans="1:3" x14ac:dyDescent="0.25">
      <c r="A1123" t="s">
        <v>890</v>
      </c>
      <c r="B1123" s="4" t="s">
        <v>1542</v>
      </c>
      <c r="C1123" t="s">
        <v>2992</v>
      </c>
    </row>
    <row r="1124" spans="1:3" x14ac:dyDescent="0.25">
      <c r="A1124" t="s">
        <v>890</v>
      </c>
      <c r="B1124" t="s">
        <v>1942</v>
      </c>
      <c r="C1124" t="s">
        <v>2991</v>
      </c>
    </row>
    <row r="1125" spans="1:3" x14ac:dyDescent="0.25">
      <c r="A1125" t="s">
        <v>890</v>
      </c>
      <c r="B1125" t="s">
        <v>1217</v>
      </c>
      <c r="C1125" t="s">
        <v>953</v>
      </c>
    </row>
    <row r="1126" spans="1:3" x14ac:dyDescent="0.25">
      <c r="A1126" t="s">
        <v>890</v>
      </c>
      <c r="B1126" t="s">
        <v>3151</v>
      </c>
      <c r="C1126" t="s">
        <v>3288</v>
      </c>
    </row>
    <row r="1127" spans="1:3" x14ac:dyDescent="0.25">
      <c r="A1127" t="s">
        <v>890</v>
      </c>
      <c r="B1127" t="s">
        <v>2113</v>
      </c>
      <c r="C1127" t="s">
        <v>2991</v>
      </c>
    </row>
    <row r="1128" spans="1:3" x14ac:dyDescent="0.25">
      <c r="A1128" t="s">
        <v>890</v>
      </c>
      <c r="B1128" t="s">
        <v>1386</v>
      </c>
      <c r="C1128" t="s">
        <v>953</v>
      </c>
    </row>
    <row r="1129" spans="1:3" x14ac:dyDescent="0.25">
      <c r="A1129" t="s">
        <v>890</v>
      </c>
      <c r="B1129" t="s">
        <v>2206</v>
      </c>
      <c r="C1129" t="s">
        <v>2991</v>
      </c>
    </row>
    <row r="1130" spans="1:3" x14ac:dyDescent="0.25">
      <c r="A1130" t="s">
        <v>890</v>
      </c>
      <c r="B1130" t="s">
        <v>3056</v>
      </c>
      <c r="C1130" t="s">
        <v>3288</v>
      </c>
    </row>
    <row r="1131" spans="1:3" x14ac:dyDescent="0.25">
      <c r="A1131" t="s">
        <v>890</v>
      </c>
      <c r="B1131" t="s">
        <v>1950</v>
      </c>
      <c r="C1131" t="s">
        <v>2991</v>
      </c>
    </row>
    <row r="1132" spans="1:3" x14ac:dyDescent="0.25">
      <c r="A1132" t="s">
        <v>890</v>
      </c>
      <c r="B1132" s="4" t="s">
        <v>1638</v>
      </c>
      <c r="C1132" t="s">
        <v>2992</v>
      </c>
    </row>
    <row r="1133" spans="1:3" x14ac:dyDescent="0.25">
      <c r="A1133" t="s">
        <v>890</v>
      </c>
      <c r="B1133" t="s">
        <v>2031</v>
      </c>
      <c r="C1133" t="s">
        <v>2991</v>
      </c>
    </row>
    <row r="1134" spans="1:3" x14ac:dyDescent="0.25">
      <c r="A1134" t="s">
        <v>890</v>
      </c>
      <c r="B1134" s="4" t="s">
        <v>1662</v>
      </c>
      <c r="C1134" t="s">
        <v>2992</v>
      </c>
    </row>
    <row r="1135" spans="1:3" x14ac:dyDescent="0.25">
      <c r="A1135" t="s">
        <v>890</v>
      </c>
      <c r="B1135" t="s">
        <v>2229</v>
      </c>
      <c r="C1135" t="s">
        <v>2991</v>
      </c>
    </row>
    <row r="1136" spans="1:3" x14ac:dyDescent="0.25">
      <c r="A1136" t="s">
        <v>890</v>
      </c>
      <c r="B1136" t="s">
        <v>3038</v>
      </c>
      <c r="C1136" t="s">
        <v>3288</v>
      </c>
    </row>
    <row r="1137" spans="1:3" x14ac:dyDescent="0.25">
      <c r="A1137" t="s">
        <v>890</v>
      </c>
      <c r="B1137" t="s">
        <v>1480</v>
      </c>
      <c r="C1137" t="s">
        <v>953</v>
      </c>
    </row>
    <row r="1138" spans="1:3" x14ac:dyDescent="0.25">
      <c r="A1138" t="s">
        <v>890</v>
      </c>
      <c r="B1138" t="s">
        <v>3197</v>
      </c>
      <c r="C1138" t="s">
        <v>3288</v>
      </c>
    </row>
    <row r="1139" spans="1:3" x14ac:dyDescent="0.25">
      <c r="A1139" t="s">
        <v>890</v>
      </c>
      <c r="B1139" s="4" t="s">
        <v>1616</v>
      </c>
      <c r="C1139" t="s">
        <v>2992</v>
      </c>
    </row>
    <row r="1140" spans="1:3" x14ac:dyDescent="0.25">
      <c r="A1140" t="s">
        <v>890</v>
      </c>
      <c r="B1140" t="s">
        <v>2412</v>
      </c>
      <c r="C1140" t="s">
        <v>2991</v>
      </c>
    </row>
    <row r="1141" spans="1:3" x14ac:dyDescent="0.25">
      <c r="A1141" t="s">
        <v>890</v>
      </c>
      <c r="B1141" s="4" t="s">
        <v>1737</v>
      </c>
      <c r="C1141" t="s">
        <v>2992</v>
      </c>
    </row>
    <row r="1142" spans="1:3" x14ac:dyDescent="0.25">
      <c r="A1142" t="s">
        <v>890</v>
      </c>
      <c r="B1142" t="s">
        <v>3132</v>
      </c>
      <c r="C1142" t="s">
        <v>3288</v>
      </c>
    </row>
    <row r="1143" spans="1:3" x14ac:dyDescent="0.25">
      <c r="A1143" t="s">
        <v>890</v>
      </c>
      <c r="B1143" t="s">
        <v>1998</v>
      </c>
      <c r="C1143" t="s">
        <v>2991</v>
      </c>
    </row>
    <row r="1144" spans="1:3" x14ac:dyDescent="0.25">
      <c r="A1144" t="s">
        <v>890</v>
      </c>
      <c r="B1144" t="s">
        <v>3267</v>
      </c>
      <c r="C1144" t="s">
        <v>3288</v>
      </c>
    </row>
    <row r="1145" spans="1:3" x14ac:dyDescent="0.25">
      <c r="A1145" t="s">
        <v>890</v>
      </c>
      <c r="B1145" t="s">
        <v>1900</v>
      </c>
      <c r="C1145" t="s">
        <v>2991</v>
      </c>
    </row>
    <row r="1146" spans="1:3" x14ac:dyDescent="0.25">
      <c r="A1146" t="s">
        <v>890</v>
      </c>
      <c r="B1146" t="s">
        <v>3141</v>
      </c>
      <c r="C1146" t="s">
        <v>3288</v>
      </c>
    </row>
    <row r="1147" spans="1:3" x14ac:dyDescent="0.25">
      <c r="A1147" t="s">
        <v>890</v>
      </c>
      <c r="B1147" t="s">
        <v>3240</v>
      </c>
      <c r="C1147" t="s">
        <v>3288</v>
      </c>
    </row>
    <row r="1148" spans="1:3" x14ac:dyDescent="0.25">
      <c r="A1148" t="s">
        <v>890</v>
      </c>
      <c r="B1148" t="s">
        <v>3069</v>
      </c>
      <c r="C1148" t="s">
        <v>3288</v>
      </c>
    </row>
    <row r="1149" spans="1:3" x14ac:dyDescent="0.25">
      <c r="A1149" t="s">
        <v>890</v>
      </c>
      <c r="B1149" s="4" t="s">
        <v>1819</v>
      </c>
      <c r="C1149" t="s">
        <v>2992</v>
      </c>
    </row>
    <row r="1150" spans="1:3" x14ac:dyDescent="0.25">
      <c r="A1150" t="s">
        <v>890</v>
      </c>
      <c r="B1150" t="s">
        <v>1417</v>
      </c>
      <c r="C1150" t="s">
        <v>953</v>
      </c>
    </row>
    <row r="1151" spans="1:3" x14ac:dyDescent="0.25">
      <c r="A1151" t="s">
        <v>890</v>
      </c>
      <c r="B1151" t="s">
        <v>3103</v>
      </c>
      <c r="C1151" t="s">
        <v>3288</v>
      </c>
    </row>
    <row r="1152" spans="1:3" x14ac:dyDescent="0.25">
      <c r="A1152" t="s">
        <v>890</v>
      </c>
      <c r="B1152" t="s">
        <v>2327</v>
      </c>
      <c r="C1152" t="s">
        <v>2991</v>
      </c>
    </row>
    <row r="1153" spans="1:3" x14ac:dyDescent="0.25">
      <c r="A1153" t="s">
        <v>890</v>
      </c>
      <c r="B1153" t="s">
        <v>2326</v>
      </c>
      <c r="C1153" t="s">
        <v>2991</v>
      </c>
    </row>
    <row r="1154" spans="1:3" x14ac:dyDescent="0.25">
      <c r="A1154" t="s">
        <v>890</v>
      </c>
      <c r="B1154" t="s">
        <v>3145</v>
      </c>
      <c r="C1154" t="s">
        <v>3288</v>
      </c>
    </row>
    <row r="1155" spans="1:3" x14ac:dyDescent="0.25">
      <c r="A1155" t="s">
        <v>890</v>
      </c>
      <c r="B1155" s="4" t="s">
        <v>1773</v>
      </c>
      <c r="C1155" t="s">
        <v>2992</v>
      </c>
    </row>
    <row r="1156" spans="1:3" x14ac:dyDescent="0.25">
      <c r="A1156" t="s">
        <v>890</v>
      </c>
      <c r="B1156" t="s">
        <v>2295</v>
      </c>
      <c r="C1156" t="s">
        <v>2991</v>
      </c>
    </row>
    <row r="1157" spans="1:3" x14ac:dyDescent="0.25">
      <c r="A1157" t="s">
        <v>890</v>
      </c>
      <c r="B1157" t="s">
        <v>1460</v>
      </c>
      <c r="C1157" t="s">
        <v>953</v>
      </c>
    </row>
    <row r="1158" spans="1:3" x14ac:dyDescent="0.25">
      <c r="A1158" t="s">
        <v>890</v>
      </c>
      <c r="B1158" t="s">
        <v>1353</v>
      </c>
      <c r="C1158" t="s">
        <v>953</v>
      </c>
    </row>
    <row r="1159" spans="1:3" x14ac:dyDescent="0.25">
      <c r="A1159" t="s">
        <v>890</v>
      </c>
      <c r="B1159" t="s">
        <v>2424</v>
      </c>
      <c r="C1159" t="s">
        <v>2991</v>
      </c>
    </row>
    <row r="1160" spans="1:3" x14ac:dyDescent="0.25">
      <c r="A1160" t="s">
        <v>890</v>
      </c>
      <c r="B1160" t="s">
        <v>2127</v>
      </c>
      <c r="C1160" t="s">
        <v>2991</v>
      </c>
    </row>
    <row r="1161" spans="1:3" x14ac:dyDescent="0.25">
      <c r="A1161" t="s">
        <v>890</v>
      </c>
      <c r="B1161" s="4" t="s">
        <v>1660</v>
      </c>
      <c r="C1161" t="s">
        <v>2992</v>
      </c>
    </row>
    <row r="1162" spans="1:3" x14ac:dyDescent="0.25">
      <c r="A1162" t="s">
        <v>890</v>
      </c>
      <c r="B1162" t="s">
        <v>3011</v>
      </c>
      <c r="C1162" t="s">
        <v>3288</v>
      </c>
    </row>
    <row r="1163" spans="1:3" x14ac:dyDescent="0.25">
      <c r="A1163" t="s">
        <v>890</v>
      </c>
      <c r="B1163" t="s">
        <v>2063</v>
      </c>
      <c r="C1163" t="s">
        <v>2991</v>
      </c>
    </row>
    <row r="1164" spans="1:3" x14ac:dyDescent="0.25">
      <c r="A1164" t="s">
        <v>890</v>
      </c>
      <c r="B1164" t="s">
        <v>3205</v>
      </c>
      <c r="C1164" t="s">
        <v>3288</v>
      </c>
    </row>
    <row r="1165" spans="1:3" x14ac:dyDescent="0.25">
      <c r="A1165" t="s">
        <v>890</v>
      </c>
      <c r="B1165" t="s">
        <v>3034</v>
      </c>
      <c r="C1165" t="s">
        <v>3288</v>
      </c>
    </row>
    <row r="1166" spans="1:3" x14ac:dyDescent="0.25">
      <c r="A1166" t="s">
        <v>890</v>
      </c>
      <c r="B1166" t="s">
        <v>3121</v>
      </c>
      <c r="C1166" t="s">
        <v>3288</v>
      </c>
    </row>
    <row r="1167" spans="1:3" x14ac:dyDescent="0.25">
      <c r="A1167" t="s">
        <v>890</v>
      </c>
      <c r="B1167" s="4" t="s">
        <v>1807</v>
      </c>
      <c r="C1167" t="s">
        <v>2992</v>
      </c>
    </row>
    <row r="1168" spans="1:3" x14ac:dyDescent="0.25">
      <c r="A1168" t="s">
        <v>890</v>
      </c>
      <c r="B1168" s="4" t="s">
        <v>1610</v>
      </c>
      <c r="C1168" t="s">
        <v>2992</v>
      </c>
    </row>
    <row r="1169" spans="1:3" x14ac:dyDescent="0.25">
      <c r="A1169" t="s">
        <v>890</v>
      </c>
      <c r="B1169" s="4" t="s">
        <v>1785</v>
      </c>
      <c r="C1169" t="s">
        <v>2992</v>
      </c>
    </row>
    <row r="1170" spans="1:3" x14ac:dyDescent="0.25">
      <c r="A1170" t="s">
        <v>890</v>
      </c>
      <c r="B1170" s="4" t="s">
        <v>1691</v>
      </c>
      <c r="C1170" t="s">
        <v>2992</v>
      </c>
    </row>
    <row r="1171" spans="1:3" x14ac:dyDescent="0.25">
      <c r="A1171" t="s">
        <v>890</v>
      </c>
      <c r="B1171" t="s">
        <v>1466</v>
      </c>
      <c r="C1171" t="s">
        <v>953</v>
      </c>
    </row>
    <row r="1172" spans="1:3" x14ac:dyDescent="0.25">
      <c r="A1172" t="s">
        <v>890</v>
      </c>
      <c r="B1172" s="4" t="s">
        <v>1560</v>
      </c>
      <c r="C1172" t="s">
        <v>2992</v>
      </c>
    </row>
    <row r="1173" spans="1:3" x14ac:dyDescent="0.25">
      <c r="A1173" t="s">
        <v>890</v>
      </c>
      <c r="B1173" s="4" t="s">
        <v>1652</v>
      </c>
      <c r="C1173" t="s">
        <v>2992</v>
      </c>
    </row>
    <row r="1174" spans="1:3" x14ac:dyDescent="0.25">
      <c r="A1174" t="s">
        <v>890</v>
      </c>
      <c r="B1174" t="s">
        <v>1320</v>
      </c>
      <c r="C1174" t="s">
        <v>953</v>
      </c>
    </row>
  </sheetData>
  <phoneticPr fontId="1" type="noConversion"/>
  <pageMargins left="0.75" right="0.75" top="1" bottom="1" header="0.5" footer="0.5"/>
  <pageSetup orientation="portrait" horizontalDpi="4294967292" verticalDpi="4294967292"/>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4"/>
  <sheetViews>
    <sheetView workbookViewId="0"/>
  </sheetViews>
  <sheetFormatPr defaultColWidth="11" defaultRowHeight="15.75" x14ac:dyDescent="0.25"/>
  <sheetData>
    <row r="1" spans="1:2" x14ac:dyDescent="0.25">
      <c r="A1" t="s">
        <v>891</v>
      </c>
      <c r="B1" t="s">
        <v>10</v>
      </c>
    </row>
    <row r="2" spans="1:2" x14ac:dyDescent="0.25">
      <c r="A2" t="s">
        <v>476</v>
      </c>
      <c r="B2" t="s">
        <v>35</v>
      </c>
    </row>
    <row r="3" spans="1:2" x14ac:dyDescent="0.25">
      <c r="A3" t="s">
        <v>125</v>
      </c>
      <c r="B3" t="s">
        <v>26</v>
      </c>
    </row>
    <row r="4" spans="1:2" x14ac:dyDescent="0.25">
      <c r="A4" t="s">
        <v>25</v>
      </c>
      <c r="B4" t="s">
        <v>927</v>
      </c>
    </row>
    <row r="5" spans="1:2" x14ac:dyDescent="0.25">
      <c r="A5" t="s">
        <v>185</v>
      </c>
      <c r="B5" t="s">
        <v>904</v>
      </c>
    </row>
    <row r="6" spans="1:2" x14ac:dyDescent="0.25">
      <c r="A6" t="s">
        <v>815</v>
      </c>
      <c r="B6" t="s">
        <v>950</v>
      </c>
    </row>
    <row r="7" spans="1:2" x14ac:dyDescent="0.25">
      <c r="A7" t="s">
        <v>375</v>
      </c>
      <c r="B7" t="s">
        <v>951</v>
      </c>
    </row>
    <row r="8" spans="1:2" x14ac:dyDescent="0.25">
      <c r="A8" t="s">
        <v>863</v>
      </c>
      <c r="B8" t="s">
        <v>952</v>
      </c>
    </row>
    <row r="9" spans="1:2" x14ac:dyDescent="0.25">
      <c r="A9" t="s">
        <v>263</v>
      </c>
      <c r="B9" t="s">
        <v>52</v>
      </c>
    </row>
    <row r="10" spans="1:2" x14ac:dyDescent="0.25">
      <c r="A10" t="s">
        <v>328</v>
      </c>
      <c r="B10" t="s">
        <v>947</v>
      </c>
    </row>
    <row r="11" spans="1:2" x14ac:dyDescent="0.25">
      <c r="A11" t="s">
        <v>104</v>
      </c>
      <c r="B11" t="s">
        <v>21</v>
      </c>
    </row>
    <row r="12" spans="1:2" x14ac:dyDescent="0.25">
      <c r="A12" t="s">
        <v>336</v>
      </c>
      <c r="B12" t="s">
        <v>948</v>
      </c>
    </row>
    <row r="13" spans="1:2" x14ac:dyDescent="0.25">
      <c r="A13" t="s">
        <v>85</v>
      </c>
      <c r="B13" t="s">
        <v>949</v>
      </c>
    </row>
    <row r="14" spans="1:2" x14ac:dyDescent="0.25">
      <c r="A14" t="s">
        <v>225</v>
      </c>
      <c r="B14" t="s">
        <v>946</v>
      </c>
    </row>
  </sheetData>
  <pageMargins left="0.75" right="0.75" top="1" bottom="1" header="0.5" footer="0.5"/>
  <pageSetup orientation="portrait" horizontalDpi="4294967292" verticalDpi="4294967292"/>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7225B487-FA19-49B2-AD31-82AE50F0829B}">
  <ds:schemaRefs/>
</ds:datastoreItem>
</file>

<file path=customXml/itemProps2.xml><?xml version="1.0" encoding="utf-8"?>
<ds:datastoreItem xmlns:ds="http://schemas.openxmlformats.org/officeDocument/2006/customXml" ds:itemID="{326C546A-59E9-4075-A567-807F99E246E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 Dashboard</vt:lpstr>
      <vt:lpstr>Orders</vt:lpstr>
      <vt:lpstr>Returns</vt:lpstr>
      <vt:lpstr>People</vt:lpstr>
    </vt:vector>
  </TitlesOfParts>
  <Company>Tableau Software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Clara Siegel</dc:creator>
  <cp:lastModifiedBy>Jim Christian De Vera</cp:lastModifiedBy>
  <cp:lastPrinted>2026-05-10T12:41:33Z</cp:lastPrinted>
  <dcterms:created xsi:type="dcterms:W3CDTF">2014-11-07T20:07:33Z</dcterms:created>
  <dcterms:modified xsi:type="dcterms:W3CDTF">2026-05-14T09:23:01Z</dcterms:modified>
</cp:coreProperties>
</file>